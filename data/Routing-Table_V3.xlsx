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Items" sheetId="2" r:id="rId5"/>
    <sheet state="visible" name="Experiment Priority" sheetId="3" r:id="rId6"/>
    <sheet state="visible" name="Goal to Number" sheetId="4" r:id="rId7"/>
    <sheet state="visible" name="Glossary" sheetId="5" r:id="rId8"/>
    <sheet state="visible" name="Numbers we can watch" sheetId="6" r:id="rId9"/>
    <sheet state="visible" name="Verdict Templates" sheetId="7" r:id="rId10"/>
    <sheet state="visible" name="Tone Guide" sheetId="8" r:id="rId11"/>
    <sheet state="visible" name="Emotional Positioning" sheetId="9" r:id="rId12"/>
    <sheet state="visible" name="Follow-up Questions" sheetId="10" r:id="rId13"/>
    <sheet state="visible" name="Overlap Groups" sheetId="11" r:id="rId14"/>
    <sheet state="visible" name="Worked Example" sheetId="12" r:id="rId15"/>
    <sheet state="visible" name="Summary" sheetId="13" r:id="rId16"/>
  </sheets>
  <definedNames>
    <definedName hidden="1" localSheetId="1" name="_xlnm._FilterDatabase">Items!$A$1:$AL$211</definedName>
  </definedNames>
  <calcPr/>
  <extLst>
    <ext uri="GoogleSheetsCustomDataVersion2">
      <go:sheetsCustomData xmlns:go="http://customooxmlschemas.google.com/" r:id="rId17" roundtripDataChecksum="mzIDv1Z92Ekpm8bfKM9TG2RIuB8EdNfsyDmxJ8iWqQw="/>
    </ext>
  </extLst>
</workbook>
</file>

<file path=xl/sharedStrings.xml><?xml version="1.0" encoding="utf-8"?>
<sst xmlns="http://schemas.openxmlformats.org/spreadsheetml/2006/main" count="7014" uniqueCount="2374">
  <si>
    <t>Routing Table, version 3</t>
  </si>
  <si>
    <t>Built 20 September 2026 for Distill. The spreadsheet is the source of truth; a browsable copy is published as an artifact.</t>
  </si>
  <si>
    <t>What this file is, in one paragraph</t>
  </si>
  <si>
    <t>When someone finishes telling the app what they take, buy and do, every item gets looked up here. The row says what kind of thing it is, whether a ring or watch can see its effect, how big that effect is likely to be, what the studies found, and the exact sentence the person should read about it on day one. This table is the product's brain and its voice at the same time.</t>
  </si>
  <si>
    <t>You never ask the person which tier something is in. The tier comes out of this table plus their own answers (how much they take, what for, where the idea came from). The order the app checks things in is written out below.</t>
  </si>
  <si>
    <t>Nothing in here diagnoses, treats or prevents anything. Every sentence is about a habit, a dose, or a study. Never about a condition.</t>
  </si>
  <si>
    <t>What changed in version 4</t>
  </si>
  <si>
    <t>The table routes on answers, not just names</t>
  </si>
  <si>
    <t>Five new columns per row. 'Follow-up question' says which question fires for the item (dose and form, frequency, clock time, nights a week, last used, still paying, or an automatic overlap check). 'Rule that flips the tier' is the exact threshold, written as a rule the engine can run: for magnesium, 'form = oxide or spray → form not absorbed; dose under 200 mg elemental → dose too low'. Magnesium glycinate at 400 mg and magnesium oxide at 100 mg are now the same row with two different outcomes, which is the whole point. Rows that need no question say 'none' and route as before.</t>
  </si>
  <si>
    <t>Why this is load-bearing</t>
  </si>
  <si>
    <t>The day-one drops screen is generated from Tier 2, and Tier 2 is generated almost entirely from these answers. Without the follow-up questions, almost nothing lands in Tier 2 and that screen is empty. With them, a typical stack produces several drops on day one. See the Worked Example sheet.</t>
  </si>
  <si>
    <t>Two new reasons for a day-one drop</t>
  </si>
  <si>
    <t>'Not being used' (a device in a drawer, a membership with banked credits, an app still billing) and 'overlaps with something else' (two gym memberships, a studio that duplicates a plunge at home, a toner doing the serum's job, collagen gummies next to collagen powder). Both use the same logic as the supplement drops: no test needed, drop it now. The dollar amounts are much larger, because services cost more than powders.</t>
  </si>
  <si>
    <t>The target person changed, and the table followed</t>
  </si>
  <si>
    <t>The person with thirty bottles was the old target. The new one is the premium-gym member who spends on services, classes, treatments and skincare, and wants to look and feel good. That person might own two supplements, so the 'cut at least five things in 60 days' promise can't be kept from dose failures alone. Thirty-four new rows cover memberships, class packs, recovery studios, massage memberships, meal services, apps, and a skincare section, plus 19 overlap groups (Overlap Groups sheet).</t>
  </si>
  <si>
    <t>Skincare is a category now</t>
  </si>
  <si>
    <t>Sunscreen and retinoids get a 'keep' with the strongest evidence in the file. Toners, second hyaluronic serums, most eye creams, doubled exfoliants and oxidised vitamin C serums are day-one drops. Every skincare verdict is about a product, never about a person's skin.</t>
  </si>
  <si>
    <t>Magnesium merged</t>
  </si>
  <si>
    <t>The separate oxide row is gone; the form is now an answer to the magnesium question. Threonate and the spray stay separate because they're different products with different claims.</t>
  </si>
  <si>
    <t>What changed in version 3</t>
  </si>
  <si>
    <t>Expected effect size</t>
  </si>
  <si>
    <t>Every row a wearable can see now has a number: how big the effect is likely to be, in units of one person's normal night-to-night swing. Below 0.8, a two-week test would usually come back inconclusive, so those rows get the honest Tier 3 treatment instead of a test that's set up to fail. The table used to send 81 rows to Tier 1; after the gate it's a much shorter list, and almost all of it is timing and behaviour, not supplements. That is a real finding about the product: the testable core is what people do, not what they swallow.</t>
  </si>
  <si>
    <t>Run it anyway</t>
  </si>
  <si>
    <t>Gated rows still let the person choose to run the test, told up front what to expect. Their choice is the point of the product; we just stop pretending a small effect is likely to show.</t>
  </si>
  <si>
    <t>Read from history</t>
  </si>
  <si>
    <t>A new column says whether the app can learn about an item from the person's existing wearable data before any test: workouts and wake times are recorded automatically; alcohol, caffeine and supplements only if they've been tagging them in Oura or WHOOP; and alcohol nights have a recognisable pattern (HRV down, resting heart rate up, temperature up, all together) that the app can flag for them to confirm. This is how the day-one 'hypotheses' get made, and it's why the morning-after-drinks screen logs the night rather than assigning it.</t>
  </si>
  <si>
    <t>Observe only</t>
  </si>
  <si>
    <t>Some items must never be assigned as an 'on' day: alcohol, nicotine, cannabis, energy drinks, fat burners. The app only records those when they happen, and may assign 'off' days. We never tell anyone to drink.</t>
  </si>
  <si>
    <t>Fact-check flags</t>
  </si>
  <si>
    <t>Every Tier 2 row, and every row with a specific number in it, now carries a note saying exactly what to check and where to look. That's 90-odd rows, up from 2. Tier 2 rows tell someone to stop paying for something, so they are the exposure.</t>
  </si>
  <si>
    <t>Fixes</t>
  </si>
  <si>
    <t>Two double-parenthesis typos. The sauna habit row no longer carries the membership's cost. A stable key column for the engine. Cost per year as a live formula. A goal-to-number map so the routing has a defined metric for every goal.</t>
  </si>
  <si>
    <t>The four tiers, in plain words</t>
  </si>
  <si>
    <t>Tier 1: Tested on you</t>
  </si>
  <si>
    <t>A wearable can see it, it acts within hours, and the likely effect is big enough to show in two weeks. Three days on, three off, repeat. One number chosen before the start. One word at the end: kept, dropped, or inconclusive, always with the actual number.</t>
  </si>
  <si>
    <t>Tier 2: No test needed</t>
  </si>
  <si>
    <t>The answer is already known on day one. Five reasons: the dose is too low, the form isn't absorbed, it's been tested properly and found to do nothing, there's no known way it could work, or it duplicates something they already have. The person sees the money back immediately.</t>
  </si>
  <si>
    <t>Tier 3: Can't measure it</t>
  </si>
  <si>
    <t>Either a wearable is blind to it, or the likely effect is too small to see in two weeks. We say which. We show the cost per year and what the studies found, and offer a one-tap daily rating for things you'd feel rather than measure. Tier 3 is NOT 'drop': creatine, fibre, strength training and a personal trainer are Tier 3 and get a 'keep'.</t>
  </si>
  <si>
    <t>Protected</t>
  </si>
  <si>
    <t>Anything from a doctor, a blood test, a prescription, a hormone, or tied to a diagnosed condition. Never rated, tested, or suggested for dropping. In the count only if they want it there.</t>
  </si>
  <si>
    <t>The order the app checks things (top to bottom, first match wins)</t>
  </si>
  <si>
    <t>1. Protected?</t>
  </si>
  <si>
    <t>Doctor or blood test source, prescription, hormone, clinical service, or a diagnosed condition named for it. Stop.</t>
  </si>
  <si>
    <t>2. Safety note?</t>
  </si>
  <si>
    <t>Attach it. A few redirect to Protected (mouth tape with possible sleep apnoea; 5-HTP with an antidepressant).</t>
  </si>
  <si>
    <t>3. Goal known?</t>
  </si>
  <si>
    <t>'General health' or 'nothing specific' goes to Tier 3 as untestable, cost shown.</t>
  </si>
  <si>
    <t>4. Settled without a test?</t>
  </si>
  <si>
    <t>Run the row's follow-up question. Dose below the floor, form not absorbed, evidence grade N for the goal, no way it could work: Tier 2 with the reason. Then the usage checks: last used over 30 days ago, or still paying and not using: Tier 2 (not being used). Then the overlap check: two or more items from the same overlap group: Tier 2 (overlaps with something else) for the one used less. The person is always shown both and asked which they'd keep.</t>
  </si>
  <si>
    <t>5. Wearable can see it, acts fast, effect at least 0.8?</t>
  </si>
  <si>
    <t>Tier 1. Order the person's Tier 1 list by expected effect, largest first. Check the 'read from history' column: if the app already has weeks of on and off nights from tags or workouts, show that comparison as a day-one hypothesis before the test.</t>
  </si>
  <si>
    <t>6. Wearable can see it, acts fast, effect under 0.8?</t>
  </si>
  <si>
    <t>Tier 3, 'effect too small to see in two weeks', with the option to run it anyway.</t>
  </si>
  <si>
    <t>7. Wearable can see it but it's slow?</t>
  </si>
  <si>
    <t>Tier 1 in principle, queued. Never run 3-day blocks on it.</t>
  </si>
  <si>
    <t>8. Everything else</t>
  </si>
  <si>
    <t>Tier 3. Daily rating offered only for goals you'd feel rather than measure.</t>
  </si>
  <si>
    <t>How the effect numbers were made, and how much to trust them</t>
  </si>
  <si>
    <t>Each is the typical published effect for the row's main number, divided by a typical person's normal night-to-night swing for that number (see the 'Numbers we can watch' sheet). Where the effect depends on the person (a hot sleeper, a snorer, someone with night bathroom trips), the 'where the estimate comes from' column says what number to use instead. These are working estimates from the literature as I know it, not a meta-analysis, and every one of them is a fair target for the team to challenge. The gate at 0.8 is a judgement call: at 0.8, seven nights a side gives roughly a one-in-three chance of a clear answer; at 1.2 it's better than even.</t>
  </si>
  <si>
    <t>'What are you about to buy?' Free stand-in tests</t>
  </si>
  <si>
    <t>Sauna</t>
  </si>
  <si>
    <t>Hot bath or shower 1 to 2 hours before bed, 14 days. Same mechanism.</t>
  </si>
  <si>
    <t>Cold plunge tub</t>
  </si>
  <si>
    <t>Cold shower, 14 days. If HRV doesn't notice the shower, the tub won't change that.</t>
  </si>
  <si>
    <t>Eight Sleep or cooling pad</t>
  </si>
  <si>
    <t>Thermostat down 2 degrees plus a fan, 14 days.</t>
  </si>
  <si>
    <t>Red light panel (for sleep)</t>
  </si>
  <si>
    <t>Ten minutes of morning sunlight, week-long blocks.</t>
  </si>
  <si>
    <t>Weighted blanket</t>
  </si>
  <si>
    <t>Heaviest duvet already owned, 3 on and 3 off.</t>
  </si>
  <si>
    <t>Mattress</t>
  </si>
  <si>
    <t>No stand-in. The shop's 100-night trial is the test.</t>
  </si>
  <si>
    <t>Any supplement</t>
  </si>
  <si>
    <t>One month at the studied dose, then the row's test.</t>
  </si>
  <si>
    <t>Glucose monitor (no diabetes)</t>
  </si>
  <si>
    <t>No stand-in and no evidence. The verdict is the annual cost.</t>
  </si>
  <si>
    <t>What each column on the Items sheet means</t>
  </si>
  <si>
    <t>Key</t>
  </si>
  <si>
    <t>A stable code for the engine. Doesn't change when the item is renamed.</t>
  </si>
  <si>
    <t>Cost per month / per year</t>
  </si>
  <si>
    <t>US retail estimate, prefilled in onboarding and editable. One-off devices are spread over 24 months. Per year is a live formula.</t>
  </si>
  <si>
    <t>Can a wearable see it?</t>
  </si>
  <si>
    <t>yes = a number changes the same night. partial = weakly, or for some goals. no = blind.</t>
  </si>
  <si>
    <t>Which number we'd watch</t>
  </si>
  <si>
    <t>Chosen before the test and never changed after.</t>
  </si>
  <si>
    <t>How fast it acts and clears</t>
  </si>
  <si>
    <t>fast = hours, so 3-day blocks work. slow = weeks, so they don't.</t>
  </si>
  <si>
    <t>Expected effect</t>
  </si>
  <si>
    <t>How big the change is likely to be, in units of that person's normal night-to-night swing. 1.0 means 'about as big as a normal bad night versus a normal good night'.</t>
  </si>
  <si>
    <t>Chance of a clear answer in two weeks</t>
  </si>
  <si>
    <t>good (1.2 and up), fair (0.8 to 1.2), low (under 0.8), or not applicable.</t>
  </si>
  <si>
    <t>Tier / Tier after the effect gate</t>
  </si>
  <si>
    <t>The first is the row's natural tier. The second is what the engine actually uses, after the 0.8 gate and the slow-item queue.</t>
  </si>
  <si>
    <t>Can we read it from their history?</t>
  </si>
  <si>
    <t>Whether the wearable's past data already shows on and off nights for this item.</t>
  </si>
  <si>
    <t>On-days: assigned or observed?</t>
  </si>
  <si>
    <t>assign = we set the schedule. observe only = we never assign an on-day (alcohol, nicotine, cannabis); we record it when it happens.</t>
  </si>
  <si>
    <t>Evidence grade</t>
  </si>
  <si>
    <t>A = well-run trials agree, measured properly. B = proper trials but small, mixed, or based on how people felt. C = a few small trials or studies that only watched people. D = stories, marketing, lab-dish or animal only. N = tested properly and found to do nothing.</t>
  </si>
  <si>
    <t>What the user reads on day one</t>
  </si>
  <si>
    <t>The actual sentence, in the product's voice. Read the Tone Guide and Emotional Positioning sheets before changing any.</t>
  </si>
  <si>
    <t>Follow-up question / Question wording / Answer options / Rule that flips the tier / Overlap group</t>
  </si>
  <si>
    <t>Which onboarding question this row fires, how it's worded, what the chips say, and the exact rule that changes the tier based on the answer. Overlap group names the set this item is checked against when two or more are in the inventory (see the Overlap Groups sheet).</t>
  </si>
  <si>
    <t>Needs a fact-check? / What to check</t>
  </si>
  <si>
    <t>yes on every Tier 2 row and every row with a specific number. The note says what to verify and where to look. Nothing in this file is a citation; these are the citations to go and get.</t>
  </si>
  <si>
    <t>#</t>
  </si>
  <si>
    <t>Item</t>
  </si>
  <si>
    <t>Do, buy, or environment</t>
  </si>
  <si>
    <t>Category</t>
  </si>
  <si>
    <t>Cost per month (USD)</t>
  </si>
  <si>
    <t>Cost per year (USD)</t>
  </si>
  <si>
    <t>Typical amount or how often</t>
  </si>
  <si>
    <t>What people usually take it for</t>
  </si>
  <si>
    <t>Which way it should move</t>
  </si>
  <si>
    <t>How we'd test it</t>
  </si>
  <si>
    <t>Can we run it this semester?</t>
  </si>
  <si>
    <t>Expected effect (in units of a normal night-to-night swing)</t>
  </si>
  <si>
    <t>Where the effect estimate comes from</t>
  </si>
  <si>
    <t>Tier</t>
  </si>
  <si>
    <t>Tier name</t>
  </si>
  <si>
    <t>Tier after the effect gate (what the engine uses)</t>
  </si>
  <si>
    <t>Lowest dose worth testing (below this = day-one drop)</t>
  </si>
  <si>
    <t>What the studies actually found</t>
  </si>
  <si>
    <t>Is there a known way it could work?</t>
  </si>
  <si>
    <t>Why it's a day-one drop (Tier 2 only)</t>
  </si>
  <si>
    <t>How the answer changes with the person's goal or situation</t>
  </si>
  <si>
    <t>Follow-up question (trigger)</t>
  </si>
  <si>
    <t>Question wording</t>
  </si>
  <si>
    <t>Answer options</t>
  </si>
  <si>
    <t>Rule that flips the tier (threshold)</t>
  </si>
  <si>
    <t>Overlap group</t>
  </si>
  <si>
    <t>Safety note (shown with the verdict)</t>
  </si>
  <si>
    <t>Needs a fact-check?</t>
  </si>
  <si>
    <t>What to check, and where to look</t>
  </si>
  <si>
    <t>magnesium-any-form</t>
  </si>
  <si>
    <t>Magnesium (any form)</t>
  </si>
  <si>
    <t>buy</t>
  </si>
  <si>
    <t>supplement</t>
  </si>
  <si>
    <t>200–400 mg elemental, evening</t>
  </si>
  <si>
    <t>sleep, relaxation, cramps</t>
  </si>
  <si>
    <t>yes</t>
  </si>
  <si>
    <t>Time to fall asleep; deep sleep</t>
  </si>
  <si>
    <t>fall asleep faster</t>
  </si>
  <si>
    <t>fast: acts and clears within hours</t>
  </si>
  <si>
    <t>3 days on, 3 days off, for 14 days</t>
  </si>
  <si>
    <t>About 5 min faster to fall asleep in people who were low in magnesium; near zero in everyone else. Deep sleep does not move.</t>
  </si>
  <si>
    <t>low</t>
  </si>
  <si>
    <t>1</t>
  </si>
  <si>
    <t>Tested on you</t>
  </si>
  <si>
    <t>3, effect too small</t>
  </si>
  <si>
    <t>yes, if they've been tagging it in Oura or WHOOP</t>
  </si>
  <si>
    <t>assign (we set the on and off days)</t>
  </si>
  <si>
    <t>≥200 mg elemental (sleep trials used 320–500 mg)</t>
  </si>
  <si>
    <t>B</t>
  </si>
  <si>
    <t>Small trials found people fell asleep about 15 minutes faster, mostly older adults or people who were low in magnesium to begin with. The effect on deep sleep and other stages is small or absent.</t>
  </si>
  <si>
    <t>Goal sleep: Tier 1. Goal cramps or 'general': Tier 3. Dose under 200 mg elemental: Tier 2 (dose too low).</t>
  </si>
  <si>
    <t>dose &amp; form</t>
  </si>
  <si>
    <t>Which form, and how much a day?</t>
  </si>
  <si>
    <t>glycinate · citrate · malate · threonate · oxide · spray or oil · not sure; dose in mg elemental</t>
  </si>
  <si>
    <t>form = oxide or spray → Tier 2 (form not absorbed). form = glycinate, citrate, malate, threonate AND dose under 200 mg elemental → Tier 2 (dose too low). Otherwise goal sleep → Tier 3 (effect too small, can run anyway); goal cramps or general → Tier 3.</t>
  </si>
  <si>
    <t>sleep aids, magnesium</t>
  </si>
  <si>
    <t>Loose stools at high doses. Kidney disease: ask a clinician first.</t>
  </si>
  <si>
    <t>Where it worked in trials, the change was a few minutes, mostly in people low in magnesium. That's about a third of one night's normal swing, so a two-week test would very likely come back inconclusive. We'll show you what the trials found and what it costs, and if you'd still like to run it, you can, knowing that going in.</t>
  </si>
  <si>
    <t>no</t>
  </si>
  <si>
    <t>magnesium-spray-oil-transdermal</t>
  </si>
  <si>
    <t>Magnesium spray / oil (transdermal)</t>
  </si>
  <si>
    <t>nightly</t>
  </si>
  <si>
    <t>sleep, cramps</t>
  </si>
  <si>
    <t>Time to fall asleep</t>
  </si>
  <si>
    <t>no experiment</t>
  </si>
  <si>
    <t>Tier 2; not absorbed.</t>
  </si>
  <si>
    <t>not tested</t>
  </si>
  <si>
    <t>2</t>
  </si>
  <si>
    <t>No test needed</t>
  </si>
  <si>
    <t>no absorbed dose established</t>
  </si>
  <si>
    <t>N</t>
  </si>
  <si>
    <t>No controlled study has shown that magnesium gets through skin in a meaningful amount. The one small trial claiming it did wasn't blinded, meaning people knew what they were getting.</t>
  </si>
  <si>
    <t>no way it could work</t>
  </si>
  <si>
    <t>Always Tier 2.</t>
  </si>
  <si>
    <t>none</t>
  </si>
  <si>
    <t>(no question)</t>
  </si>
  <si>
    <t>Routes on the item name alone.</t>
  </si>
  <si>
    <t>There's no evidence magnesium gets through skin in a meaningful amount. If the ritual is part of your wind-down, that's real and it's yours. The $15 a month for the magnesium itself isn't doing anything.</t>
  </si>
  <si>
    <t>That no controlled study shows skin absorption. Look for: Gröber 2017 review of transdermal magnesium.</t>
  </si>
  <si>
    <t>magnesium-l-threonate</t>
  </si>
  <si>
    <t>Magnesium L-threonate</t>
  </si>
  <si>
    <t>1–2 g product (~144 mg elemental)</t>
  </si>
  <si>
    <t>sleep, cognition</t>
  </si>
  <si>
    <t>Deep sleep; time to fall asleep</t>
  </si>
  <si>
    <t>improve</t>
  </si>
  <si>
    <t>One small seller-funded trial.</t>
  </si>
  <si>
    <t>≥1 g product</t>
  </si>
  <si>
    <t>C</t>
  </si>
  <si>
    <t>One small trial, paid for by the seller, found a modest sleep improvement in adults. The claims about thinking and memory come from data in rats.</t>
  </si>
  <si>
    <t>weak</t>
  </si>
  <si>
    <t>Goal sleep: Tier 1. Goal cognition: Tier 3 (focus rating).</t>
  </si>
  <si>
    <t>dose in g of product</t>
  </si>
  <si>
    <t>dose under 1 g of product a day → Tier 2 (dose too low). Otherwise Tier 3 (effect too small, can run anyway).</t>
  </si>
  <si>
    <t>magnesium</t>
  </si>
  <si>
    <t>The one trial found a modest change, and the company paid for it. That's about a third of one night's normal swing, so a two-week test would very likely come back inconclusive. We'll show you what the trials found and what it costs, and if you'd still like to run it, you can, knowing that going in.</t>
  </si>
  <si>
    <t>The one adult sleep trial and its funding. Look for: Hausenblas 2024 (Neurocentria-funded).</t>
  </si>
  <si>
    <t>melatonin</t>
  </si>
  <si>
    <t>Melatonin</t>
  </si>
  <si>
    <t>0.3–5 mg, 30–60 min before bed</t>
  </si>
  <si>
    <t>time to fall asleep, jet lag</t>
  </si>
  <si>
    <t>About 7 min faster to fall asleep against a 10-min swing, so 0.7 for most people. Use 1.2 if the person takes over 30 min to fall asleep or has a shifted schedule (that's who it works for).</t>
  </si>
  <si>
    <t>fair</t>
  </si>
  <si>
    <t>0.3 mg is already active; more is not better</t>
  </si>
  <si>
    <t>Reviews that pool many trials say it helps people fall asleep about 7 minutes faster and sleep about 8 minutes longer. It works well for jet lag and shifted schedules, less well for ordinary trouble sleeping. Taking more than 1 mg adds grogginess, not effect.</t>
  </si>
  <si>
    <t>Tier 1. If dose &gt; 5 mg, verdict adds the 'less is more' line.</t>
  </si>
  <si>
    <t>0.3 · 0.5 · 1 · 3 · 5 · 10 mg; gummy or tablet</t>
  </si>
  <si>
    <t>No tier flip. dose over 1 mg → verdict adds the 'less is more' line. dose over 5 mg → safety note.</t>
  </si>
  <si>
    <t>sleep aids</t>
  </si>
  <si>
    <t>Gummy doses are often mislabeled. Ask a clinician before nightly long-term use, for teens, or in pregnancy.</t>
  </si>
  <si>
    <t>Testable. The interesting question isn't whether it works, it's whether you need it every night or only when your schedule shifts.</t>
  </si>
  <si>
    <t>7 and 8 minute figures. Look for: Ferracioli-Oda 2013 meta-analysis.</t>
  </si>
  <si>
    <t>l-theanine</t>
  </si>
  <si>
    <t>L-theanine</t>
  </si>
  <si>
    <t>100–400 mg</t>
  </si>
  <si>
    <t>sleep, calm, focus with caffeine</t>
  </si>
  <si>
    <t>partial</t>
  </si>
  <si>
    <t>Time to fall asleep; overnight HRV</t>
  </si>
  <si>
    <t>fall asleep faster / HRV up</t>
  </si>
  <si>
    <t>Measured sleep changes are small and inconsistent.</t>
  </si>
  <si>
    <t>≥200 mg</t>
  </si>
  <si>
    <t>Trials found people said they felt less stressed. Measured changes in sleep were small and inconsistent. The best evidence is for taking the edge off caffeine when you take the two together.</t>
  </si>
  <si>
    <t>Goal sleep: Tier 1. Goal calm/focus: Tier 3 (rating). Dose under 100 mg: Tier 2 (dose too low).</t>
  </si>
  <si>
    <t>mg</t>
  </si>
  <si>
    <t>dose under 100 mg → Tier 2 (dose too low). Otherwise Tier 3 (effect too small, can run anyway).</t>
  </si>
  <si>
    <t>The measured sleep changes in trials are small and inconsistent. That's about a fifth of one night's normal swing, so a two-week test would very likely come back inconclusive. We'll show you what the trials found and what it costs, and if you'd still like to run it, you can, knowing that going in.</t>
  </si>
  <si>
    <t>glycine</t>
  </si>
  <si>
    <t>Glycine</t>
  </si>
  <si>
    <t>3 g before bed</t>
  </si>
  <si>
    <t>sleep quality</t>
  </si>
  <si>
    <t>Two tiny trials; a few minutes faster to fall asleep.</t>
  </si>
  <si>
    <t>≥3 g</t>
  </si>
  <si>
    <t>Two small Japanese trials, about 20 people each, found people fell asleep faster and felt less tired the next day on 3 g. Nothing bigger has been done since.</t>
  </si>
  <si>
    <t>Dose under 1 g: Tier 2 (dose too low). Otherwise Tier 1.</t>
  </si>
  <si>
    <t>g</t>
  </si>
  <si>
    <t>dose under 1 g → Tier 2 (dose too low). Otherwise Tier 3 (effect too small, can run anyway).</t>
  </si>
  <si>
    <t>Two tiny trials found a few minutes' difference. That's about two fifths of one night's normal swing, so a two-week test would very likely come back inconclusive. We'll show you what the trials found and what it costs, and if you'd still like to run it, you can, knowing that going in.</t>
  </si>
  <si>
    <t>The 3 g trials. Look for: Yamadera 2007; Inagawa 2006.</t>
  </si>
  <si>
    <t>apigenin</t>
  </si>
  <si>
    <t>Apigenin</t>
  </si>
  <si>
    <t>50 mg</t>
  </si>
  <si>
    <t>sleep</t>
  </si>
  <si>
    <t>No human trial; nothing to expect.</t>
  </si>
  <si>
    <t>no human dose established</t>
  </si>
  <si>
    <t>D</t>
  </si>
  <si>
    <t>There has never been a human trial of apigenin on its own for sleep. It became popular because of one podcast protocol and some lab-dish work on brain receptors.</t>
  </si>
  <si>
    <t>Tier 1 (it's testable). Verdict notes the evidence is a podcast, not a trial.</t>
  </si>
  <si>
    <t>overlap (automatic)</t>
  </si>
  <si>
    <t>Fires on its own when two or more items from the same overlap group are both in the inventory. The person is shown both and asked which one they'd keep.</t>
  </si>
  <si>
    <t>There has never been a human trial, so there's no effect size to expect. That's about a tenth of one night's normal swing, so a two-week test would very likely come back inconclusive. We'll show you what the trials found and what it costs, and if you'd still like to run it, you can, knowing that going in.</t>
  </si>
  <si>
    <t>ashwagandha-ksm-66-sensoril</t>
  </si>
  <si>
    <t>Ashwagandha (KSM-66 / Sensoril)</t>
  </si>
  <si>
    <t>300–600 mg root extract daily</t>
  </si>
  <si>
    <t>stress, sleep, cortisol</t>
  </si>
  <si>
    <t>Overnight HRV; time to fall asleep</t>
  </si>
  <si>
    <t>HRV up</t>
  </si>
  <si>
    <t>slow: builds up or clears over weeks</t>
  </si>
  <si>
    <t>2 weeks on, 2 weeks off (not this semester)</t>
  </si>
  <si>
    <t>Modest sleep and HRV changes after 6 to 8 weeks. Long blocks only.</t>
  </si>
  <si>
    <t>not in two weeks</t>
  </si>
  <si>
    <t>1, queued (slow)</t>
  </si>
  <si>
    <t>≥300 mg standardised extract</t>
  </si>
  <si>
    <t>Several trials lasting 6 to 8 weeks found people said they felt less stressed and slept a bit better. The effect builds over weeks, not nights.</t>
  </si>
  <si>
    <t>Slow: long blocks only. v1: honest 'can't test in 14 days' plus evidence line. Dose under 250 mg: Tier 2 (dose too low).</t>
  </si>
  <si>
    <t>KSM-66 · Sensoril · other extract · plain root powder · not sure; dose in mg</t>
  </si>
  <si>
    <t>form = plain root powder under 1 g, or extract under 250 mg → Tier 2 (dose too low). Otherwise Tier 1, queued (slow).</t>
  </si>
  <si>
    <t>Rare liver injury reports; can raise thyroid hormone. Avoid in pregnancy. Stop and ask a clinician if you get nausea or dark urine.</t>
  </si>
  <si>
    <t>This one works slowly, so a two-week on/off test would be unfair to it. We'll tell you what the trials found, and queue it for a longer test when we can run one.</t>
  </si>
  <si>
    <t>Liver injury and thyroid reports. Look for: LiverTox (NIH) entry on ashwagandha.</t>
  </si>
  <si>
    <t>valerian</t>
  </si>
  <si>
    <t>Valerian</t>
  </si>
  <si>
    <t>300–600 mg</t>
  </si>
  <si>
    <t>Measured sleep mostly unchanged in trials.</t>
  </si>
  <si>
    <t>≥300 mg</t>
  </si>
  <si>
    <t>Trials are mixed. People sometimes say they slept better, but their measured sleep mostly didn't change.</t>
  </si>
  <si>
    <t>Tier 1.</t>
  </si>
  <si>
    <t>dose under 300 mg → Tier 2 (dose too low). Otherwise Tier 3 (effect too small, can run anyway).</t>
  </si>
  <si>
    <t>In trials, people felt they slept better while their measured sleep stayed the same. That's about a fifth of one night's normal swing, so a two-week test would very likely come back inconclusive. We'll show you what the trials found and what it costs, and if you'd still like to run it, you can, knowing that going in.</t>
  </si>
  <si>
    <t>chamomile-tea</t>
  </si>
  <si>
    <t>Chamomile tea</t>
  </si>
  <si>
    <t>food/drink</t>
  </si>
  <si>
    <t>1 cup nightly</t>
  </si>
  <si>
    <t>sleep, wind-down</t>
  </si>
  <si>
    <t>Measured sleep unchanged; people feel calmer.</t>
  </si>
  <si>
    <t>no dose rule</t>
  </si>
  <si>
    <t>Small trials found people said they slept slightly better, but their measured sleep didn't reliably change. The warm drink and the routine may be most of what's working.</t>
  </si>
  <si>
    <t>Tier 1. Cheap and enjoyed: verdict says keep regardless of result.</t>
  </si>
  <si>
    <t>People feel calmer; the sleep numbers don't change. That's about a fifth of one night's normal swing, so a two-week test would very likely come back inconclusive. We'll show you what the trials found and what it costs, and if you'd still like to run it, you can, knowing that going in.</t>
  </si>
  <si>
    <t>sleep-tea-blend-valerian-passionflower-lemon-balm</t>
  </si>
  <si>
    <t>Sleep tea blend (valerian, passionflower, lemon balm)</t>
  </si>
  <si>
    <t>As the individual herbs.</t>
  </si>
  <si>
    <t>Each herb has small, mixed trials. Blends are untested as products.</t>
  </si>
  <si>
    <t>Each herb has small trials, and none moved the numbers much. That's about a fifth of one night's normal swing, so a two-week test would very likely come back inconclusive. We'll show you what the trials found and what it costs, and if you'd still like to run it, you can, knowing that going in.</t>
  </si>
  <si>
    <t>tart-cherry-juice-extract</t>
  </si>
  <si>
    <t>Tart cherry juice / extract</t>
  </si>
  <si>
    <t>240 ml twice daily or 480 mg extract</t>
  </si>
  <si>
    <t>sleep, recovery</t>
  </si>
  <si>
    <t>Total sleep</t>
  </si>
  <si>
    <t>up</t>
  </si>
  <si>
    <t>Tiny trials claim 30 to 80 min; a realistic guess after shrinking for tiny-study inflation is under half a swing.</t>
  </si>
  <si>
    <t>≥240 ml juice or 480 mg extract</t>
  </si>
  <si>
    <t>Two tiny trials, 8 to 20 people, reported 30 to 80 extra minutes of sleep. No bigger study has repeated the result. It contains a small amount of natural melatonin.</t>
  </si>
  <si>
    <t>juice (ml a day) · extract (mg)</t>
  </si>
  <si>
    <t>juice under 240 ml a day, or extract under 480 mg → Tier 2 (dose too low). Otherwise Tier 3 (effect too small, can run anyway).</t>
  </si>
  <si>
    <t>About 25 g sugar per serving of juice.</t>
  </si>
  <si>
    <t>The tiny trials claimed a lot; the realistic expectation is under half a night's swing. That's about two fifths of one night's normal swing, so a two-week test would very likely come back inconclusive. We'll show you what the trials found and what it costs, and if you'd still like to run it, you can, knowing that going in.</t>
  </si>
  <si>
    <t>Trial sizes. Look for: Howatson 2012 (n=20); Losso 2018 (n=8).</t>
  </si>
  <si>
    <t>cbd</t>
  </si>
  <si>
    <t>CBD</t>
  </si>
  <si>
    <t>10–50 mg gummies or oil</t>
  </si>
  <si>
    <t>sleep, anxiety</t>
  </si>
  <si>
    <t>Time to fall asleep; time awake during the night</t>
  </si>
  <si>
    <t>Mixed trials at doses higher than most products.</t>
  </si>
  <si>
    <t>≥25 mg (trials used 25–160 mg and more)</t>
  </si>
  <si>
    <t>The sleep trials used much higher doses than most gummies contain, and even then the results were mixed. The dose on the label is often wrong.</t>
  </si>
  <si>
    <t>Dose under 25 mg: Tier 2 (dose too low). Otherwise Tier 1.</t>
  </si>
  <si>
    <t>mg per serving; gummy · oil · capsule</t>
  </si>
  <si>
    <t>dose under 25 mg → Tier 2 (dose too low). Otherwise Tier 3 (effect too small, can run anyway). Any medication → Protected.</t>
  </si>
  <si>
    <t>Interacts with some medications (blood thinners, some antidepressants). Check.</t>
  </si>
  <si>
    <t>At the doses in most products, the trials found little. That's about a third of one night's normal swing, so a two-week test would very likely come back inconclusive. We'll show you what the trials found and what it costs, and if you'd still like to run it, you can, knowing that going in.</t>
  </si>
  <si>
    <t>Dose gap between products and trials. Look for: Shannon 2019 (25 to 175 mg); product testing reports on mislabelling.</t>
  </si>
  <si>
    <t>thc-cannabis-for-sleep</t>
  </si>
  <si>
    <t>THC / cannabis for sleep</t>
  </si>
  <si>
    <t>Time to fall asleep; REM</t>
  </si>
  <si>
    <t>fall asleep faster / REM down</t>
  </si>
  <si>
    <t>stop once, wait a week, then compare</t>
  </si>
  <si>
    <t>15 min faster to fall asleep and a clear REM drop, but the catch-up effect on stopping breaks the 3/3 test. Special design only.</t>
  </si>
  <si>
    <t>1, queued (special design)</t>
  </si>
  <si>
    <t>observe only (never assign an on-day)</t>
  </si>
  <si>
    <t>It helps you fall asleep faster in the short term and cuts down REM sleep. When you stop, you get several nights of REM catch-up and worse sleep. That catch-up effect makes a simple on/off test give the wrong answer.</t>
  </si>
  <si>
    <t>Not alternation-compatible (rebound). v1: report evidence only. Later: single switch with 7-night washout.</t>
  </si>
  <si>
    <t>nights a week</t>
  </si>
  <si>
    <t>How many nights a week, usually?</t>
  </si>
  <si>
    <t>0 · 1 to 2 · 3 to 4 · 5 or more. Asked plainly, no comment, no follow-up.</t>
  </si>
  <si>
    <t>Legal status varies. Nightly use builds tolerance; withdrawal insomnia is real and temporary.</t>
  </si>
  <si>
    <t>We can't run this as a 3-on/3-off test, because the off nights after nightly use are worse for everyone, and that would make the cannabis look like it 'works'. That would be a dishonest result, so we won't give you one.</t>
  </si>
  <si>
    <t>REM suppression and rebound. Look for: Babson 2017 review.</t>
  </si>
  <si>
    <t>kava</t>
  </si>
  <si>
    <t>Kava</t>
  </si>
  <si>
    <t>tea or capsule, evening</t>
  </si>
  <si>
    <t>anxiety, sleep</t>
  </si>
  <si>
    <t>Anxiety evidence is decent; sleep evidence is thin.</t>
  </si>
  <si>
    <t>Decent evidence from proper trials that it helps with anxiety in the short term. The evidence for sleep is thin.</t>
  </si>
  <si>
    <t>Goal sleep: Tier 1. Goal anxiety: Tier 3 (mood rating).</t>
  </si>
  <si>
    <t>Any alcohol most nights, or liver condition → safety note, Tier 3.</t>
  </si>
  <si>
    <t>Liver injury has been reported. Avoid with alcohol or liver conditions.</t>
  </si>
  <si>
    <t>Decent for anxiety; thin for sleep. That's about two fifths of one night's normal swing, so a two-week test would very likely come back inconclusive. We'll show you what the trials found and what it costs, and if you'd still like to run it, you can, knowing that going in.</t>
  </si>
  <si>
    <t>Liver warnings. Look for: FDA 2002 consumer advisory; LiverTox.</t>
  </si>
  <si>
    <t>passionflower</t>
  </si>
  <si>
    <t>Passionflower</t>
  </si>
  <si>
    <t>What the engine can actually test this semester, biggest expected effect first</t>
  </si>
  <si>
    <t>capsule or tea</t>
  </si>
  <si>
    <t>One small trial of tea.</t>
  </si>
  <si>
    <t>Only rows that pass every gate: a wearable can see it, it acts within hours, expected effect at least 0.8, and it can run without long blocks. This is the real Tier 1 list.</t>
  </si>
  <si>
    <t>One small trial of the tea found people said they slept slightly better.</t>
  </si>
  <si>
    <t>One small trial of the tea found a small difference in how people felt. That's about a fifth of one night's normal swing, so a two-week test would very likely come back inconclusive. We'll show you what the trials found and what it costs, and if you'd still like to run it, you can, knowing that going in.</t>
  </si>
  <si>
    <t>lemon-balm</t>
  </si>
  <si>
    <t>Lemon balm</t>
  </si>
  <si>
    <t>Chance of a clear answer</t>
  </si>
  <si>
    <t>Number we'd watch</t>
  </si>
  <si>
    <t>sleep, calm</t>
  </si>
  <si>
    <t>On-days</t>
  </si>
  <si>
    <t>Read from history?</t>
  </si>
  <si>
    <t>Why this size</t>
  </si>
  <si>
    <t>Small trials, mostly how people felt.</t>
  </si>
  <si>
    <t>Alcohol in the evening</t>
  </si>
  <si>
    <t>Small trials, mostly people saying they felt calmer.</t>
  </si>
  <si>
    <t>good</t>
  </si>
  <si>
    <t>Overnight HRV; resting heart rate; REM; time awake during the night</t>
  </si>
  <si>
    <t>observe only</t>
  </si>
  <si>
    <t>partly: the night has a recognisable pattern we can flag for them to confirm</t>
  </si>
  <si>
    <t>HRV down 10 to 25% and resting heart rate up 3 to 5 bpm on every wearable's own data. The largest, most reliable effect in the whole table.</t>
  </si>
  <si>
    <t>Small trials, mostly about how people felt. That's about a fifth of one night's normal swing, so a two-week test would very likely come back inconclusive. We'll show you what the trials found and what it costs, and if you'd still like to run it, you can, knowing that going in.</t>
  </si>
  <si>
    <t>Coffee after 2pm</t>
  </si>
  <si>
    <t>5-htp</t>
  </si>
  <si>
    <t>Total sleep; time to fall asleep; deep sleep</t>
  </si>
  <si>
    <t>5-HTP</t>
  </si>
  <si>
    <t>assign</t>
  </si>
  <si>
    <t>About 41 min less total sleep in the classic trial, against a typical 45-min swing. Bigger for people who drink a lot; smaller for fast caffeine metabolisers.</t>
  </si>
  <si>
    <t>50–200 mg</t>
  </si>
  <si>
    <t>Decaf swap after noon</t>
  </si>
  <si>
    <t>sleep, mood</t>
  </si>
  <si>
    <t>Time to fall asleep; total sleep</t>
  </si>
  <si>
    <t>The caffeine experiment in reverse. Same size as 'coffee after 2pm'.</t>
  </si>
  <si>
    <t>Small trials.</t>
  </si>
  <si>
    <t>HIIT in the evening</t>
  </si>
  <si>
    <t>Time to fall asleep; overnight HRV; resting heart rate</t>
  </si>
  <si>
    <t>≥100 mg</t>
  </si>
  <si>
    <t>yes, the wearable already records it</t>
  </si>
  <si>
    <t>Resting heart rate and body temperature stay up into the night after hard intervals close to bed.</t>
  </si>
  <si>
    <t>Small trials. The evidence for mood is a little stronger than for sleep.</t>
  </si>
  <si>
    <t>Hot bath / shower 1–2 h before bed</t>
  </si>
  <si>
    <t>Goal sleep: Tier 1. Goal mood: Tier 3 (rating). On any antidepressant: Protected.</t>
  </si>
  <si>
    <t>dose under 100 mg → Tier 2 (dose too low). On an antidepressant → Protected.</t>
  </si>
  <si>
    <t>Do not combine with antidepressants (serotonin syndrome risk).</t>
  </si>
  <si>
    <t>About 10 min faster to fall asleep in a review of 17 studies, against a 10-min swing.</t>
  </si>
  <si>
    <t>The sleep trials are small. That's about a fifth of one night's normal swing, so a two-week test would very likely come back inconclusive. We'll show you what the trials found and what it costs, and if you'd still like to run it, you can, knowing that going in.</t>
  </si>
  <si>
    <t>Pre-workout</t>
  </si>
  <si>
    <t>gaba-oral</t>
  </si>
  <si>
    <t>GABA (oral)</t>
  </si>
  <si>
    <t>As caffeine after 2pm, if taken after 1pm.</t>
  </si>
  <si>
    <t>Nicotine pouches / vape</t>
  </si>
  <si>
    <t>500–750 mg</t>
  </si>
  <si>
    <t>Stimulant: resting heart rate up, HRV down, on nights with evening use. Similar in size to late caffeine.</t>
  </si>
  <si>
    <t>Sauna (post-workout or evening)</t>
  </si>
  <si>
    <t>Tier 2; can't reach the brain.</t>
  </si>
  <si>
    <t>Overnight HRV; resting heart rate; time to fall asleep</t>
  </si>
  <si>
    <t>Falling asleep about 10 min faster after an evening session, against a 10-min swing.</t>
  </si>
  <si>
    <t>Journaling / worry list before bed</t>
  </si>
  <si>
    <t>Swallowed GABA mostly can't get past the barrier that protects the brain. The small trials that exist were paid for by the sellers and don't agree with each other.</t>
  </si>
  <si>
    <t>Tier 2.</t>
  </si>
  <si>
    <t>About 9 min faster to fall asleep in the lab trial, against a 10-min swing.</t>
  </si>
  <si>
    <t>Screens / phone in bed</t>
  </si>
  <si>
    <t>The reason this probably isn't working is that swallowed GABA mostly can't reach the brain. That's chemistry, not you.</t>
  </si>
  <si>
    <t>Barrier claim and seller funding of the trials. Look for: Boonstra 2015 review of oral GABA.</t>
  </si>
  <si>
    <t>lavender-oil-oral-silexan</t>
  </si>
  <si>
    <t>20 to 30 min later to fall asleep with social media in bed, against a 10-min swing on time to fall asleep and a 45-min swing on total sleep. Bigger for heavy users.</t>
  </si>
  <si>
    <t>Lavender oil, oral (Silexan)</t>
  </si>
  <si>
    <t>Consistent wake time (±30 min)</t>
  </si>
  <si>
    <t>Share of time in bed actually asleep; time to fall asleep</t>
  </si>
  <si>
    <t>80 mg</t>
  </si>
  <si>
    <t>Share of time asleep up 3 to 5 points and easier to fall asleep once the clock settles. Builds over the first week.</t>
  </si>
  <si>
    <t>Sauna / bathhouse membership</t>
  </si>
  <si>
    <t>Sleep improves alongside anxiety; modest in the numbers.</t>
  </si>
  <si>
    <t>Same as sauna.</t>
  </si>
  <si>
    <t>Phone charging in the bedroom</t>
  </si>
  <si>
    <t>Decent trials for anxiety. People's sleep improved alongside their anxiety.</t>
  </si>
  <si>
    <t>Same experiment as screens in bed.</t>
  </si>
  <si>
    <t>Goal sleep: Tier 1. Goal anxiety: Tier 3 (rating).</t>
  </si>
  <si>
    <t>Silexan 80 mg · other oral lavender · essential oil</t>
  </si>
  <si>
    <t>form = anything other than Silexan 80 mg (e.g. a generic lavender capsule or essential oil taken by mouth) → Tier 2 (form not absorbed) with a safety note about swallowing essential oils.</t>
  </si>
  <si>
    <t>Sleep improves a little alongside anxiety. That's about two fifths of one night's normal swing, so a two-week test would very likely come back inconclusive. We'll show you what the trials found and what it costs, and if you'd still like to run it, you can, knowing that going in.</t>
  </si>
  <si>
    <t>sleep-gummies-blend</t>
  </si>
  <si>
    <t>Sleep gummies (blend)</t>
  </si>
  <si>
    <t>The melatonin in it, usually at a higher-than-useful dose.</t>
  </si>
  <si>
    <t>depends on melatonin content</t>
  </si>
  <si>
    <t>Usually melatonin plus tiny amounts of herbs. The melatonin is what's working. The dose on gummy labels is often wrong.</t>
  </si>
  <si>
    <t>Tier 1. Verdict notes plain melatonin at 0.5 mg is a third of the price.</t>
  </si>
  <si>
    <t>melatonin mg per gummy, from the label</t>
  </si>
  <si>
    <t>melatonin content over 3 mg → verdict adds the 'less is more' line. Contains no melatonin → route as the herb blend (Tier 3, effect too small).</t>
  </si>
  <si>
    <t>It's the melatonin doing the work, and for most people that's a few minutes. That's about three fifths of one night's normal swing, so a two-week test would very likely come back inconclusive. We'll show you what the trials found and what it costs, and if you'd still like to run it, you can, knowing that going in.</t>
  </si>
  <si>
    <t>Gummy mislabelling. Look for: Cohen 2023, JAMA (melatonin gummies).</t>
  </si>
  <si>
    <t>Training after 7pm</t>
  </si>
  <si>
    <t>zma</t>
  </si>
  <si>
    <t>ZMA</t>
  </si>
  <si>
    <t>Time to fall asleep; total sleep; overnight HRV</t>
  </si>
  <si>
    <t>zinc 30 mg, magnesium 450 mg, B6</t>
  </si>
  <si>
    <t>Averages near zero, but for hard sessions ending within 2 h of bed, time to fall asleep and resting heart rate move by about a full swing. Use 1.0 if the session is vigorous and late; 0.4 if it's easy or ends before 8pm.</t>
  </si>
  <si>
    <t>sleep, testosterone, recovery</t>
  </si>
  <si>
    <t>Afternoon nap (after 3pm or over 30 min)</t>
  </si>
  <si>
    <t>Deep sleep</t>
  </si>
  <si>
    <t>As magnesium.</t>
  </si>
  <si>
    <t>Time to fall asleep; total night sleep</t>
  </si>
  <si>
    <t>10 to 15 min longer to fall asleep on nap days for people who nap late. Near zero for short early naps.</t>
  </si>
  <si>
    <t>The testosterone claim was never repeated by other researchers. Any sleep effect is the magnesium.</t>
  </si>
  <si>
    <t>Goal testosterone: Tier 2 (tested, found nothing). Goal sleep: Tier 1 as magnesium.</t>
  </si>
  <si>
    <t>The magnesium part might do a little; the rest does nothing measurable. That's about a third of one night's normal swing, so a two-week test would very likely come back inconclusive. We'll show you what the trials found and what it costs, and if you'd still like to run it, you can, knowing that going in.</t>
  </si>
  <si>
    <t>How to read this</t>
  </si>
  <si>
    <t>What the person says it's for, and which number the test is judged on</t>
  </si>
  <si>
    <t>vitamin-d3</t>
  </si>
  <si>
    <t>Offer experiments from the top of this list first. If the person's own 'thing I'd most like permission to drop' is further down, run it second, not first, so the guarantee has its best shot in the first 60 days.</t>
  </si>
  <si>
    <t>Vitamin D3</t>
  </si>
  <si>
    <t>1,000–5,000 IU</t>
  </si>
  <si>
    <t>energy, immunity, mood, bone</t>
  </si>
  <si>
    <t>'Observe only' rows (alcohol, nicotine, energy drinks) never get an assigned on-day. The app waits for the person to have a drink, records it, and compares those nights with the rest. Off-days can still be suggested: 'try three nights without.'</t>
  </si>
  <si>
    <t>Goal the person picks</t>
  </si>
  <si>
    <t>Rows marked 'yes, the wearable already records it' can be shown as a day-one hypothesis from the person's own history before any test starts: 'On the 22 nights in the last six months when you trained after 7pm, you slept 34 minutes less.' That's the reveal the landing page promises, and it needs no new data.</t>
  </si>
  <si>
    <t>Number the test watches</t>
  </si>
  <si>
    <t>Notes</t>
  </si>
  <si>
    <t>3</t>
  </si>
  <si>
    <t>Daily rating instead?</t>
  </si>
  <si>
    <t>Queued for a longer test (slow items, not this semester)</t>
  </si>
  <si>
    <t>Can't measure it</t>
  </si>
  <si>
    <t>Expected effect over weeks</t>
  </si>
  <si>
    <t>Why</t>
  </si>
  <si>
    <t>sleep (general)</t>
  </si>
  <si>
    <t>Clearly useful if you're low in it, which is common in winter and for people with darker skin living far from the equator. In people whose levels are normal, large trials found little benefit for mood, energy or catching fewer colds.</t>
  </si>
  <si>
    <t>Source = doctor/blood test: Protected. Otherwise Tier 3 with a nudge to get a level.</t>
  </si>
  <si>
    <t>Unless the row names a more specific number, total sleep is the default. It's the most reliable across devices.</t>
  </si>
  <si>
    <t>IU a day</t>
  </si>
  <si>
    <t>No tier flip on dose. dose over 10,000 IU a day → safety note. Source = doctor or blood test → Protected.</t>
  </si>
  <si>
    <t>daily multivitamin</t>
  </si>
  <si>
    <t>Very high doses (over 10,000 IU/day) long term can cause harm.</t>
  </si>
  <si>
    <t>falling asleep</t>
  </si>
  <si>
    <t>We can't see this in your data, and we won't tell you to drop it, because if you're low it matters. A blood level costs about $30 and answers this properly.</t>
  </si>
  <si>
    <t>Fasting window / skipping breakfast</t>
  </si>
  <si>
    <t>For anything taken or done in the hour before bed.</t>
  </si>
  <si>
    <t>Large trials in non-deficient people. Look for: VITAL (Manson 2019); D-Health (Neale 2022).</t>
  </si>
  <si>
    <t>Small, mixed effects on sleep and resting heart rate. Slow to settle, so long blocks only.</t>
  </si>
  <si>
    <t>vitamin-b12</t>
  </si>
  <si>
    <t>Vitamin B12</t>
  </si>
  <si>
    <t>staying asleep / waking at night</t>
  </si>
  <si>
    <t>Zone 2 cardio (3+ h/week)</t>
  </si>
  <si>
    <t>Time awake during the night</t>
  </si>
  <si>
    <t>Over 8 to 12 weeks, HRV and resting heart rate move by a full swing or more. Too slow for 3-day blocks.</t>
  </si>
  <si>
    <t>Fluids, noise, light, pets, partners.</t>
  </si>
  <si>
    <t>500–1,000 mcg</t>
  </si>
  <si>
    <t>A wearable could see it, but the effect is too small for two weeks (gets Tier 3 treatment, can run anyway)</t>
  </si>
  <si>
    <t>deep sleep</t>
  </si>
  <si>
    <t>energy</t>
  </si>
  <si>
    <t>Treat consumer sleep-stage numbers as a rough guide.</t>
  </si>
  <si>
    <t>Energy drinks</t>
  </si>
  <si>
    <t>recovery / stress / HRV</t>
  </si>
  <si>
    <t>Caffeine effect plus a small resting-heart-rate rise from sugar and taurine. Clearer if drunk after 2pm; use 1.0 then.</t>
  </si>
  <si>
    <t>Overnight HRV</t>
  </si>
  <si>
    <t>The most sensitive number to alcohol and stress. Compare in proportion to the person's average.</t>
  </si>
  <si>
    <t>Weekend sleep-in (over 1 h)</t>
  </si>
  <si>
    <t>Sunday night 20 to 40 min later to fall asleep, but it's one night a week, which dilutes the average. Use weekly blocks.</t>
  </si>
  <si>
    <t>In people who aren't low in it, B12 does nothing for energy, and that's been tested several times. Vegans, vegetarians, people over 60, and people on metformin or stomach-acid reducers are often low.</t>
  </si>
  <si>
    <t>Smart lights (warm, dim in the evening)</t>
  </si>
  <si>
    <t>Resting heart rate plus total sleep</t>
  </si>
  <si>
    <t>About 8 min earlier to fall asleep when evening light is dimmed.</t>
  </si>
  <si>
    <t>A wearable can't see energy directly. If the person means 'how I feel', use the daily rating instead.</t>
  </si>
  <si>
    <t>tested, found nothing</t>
  </si>
  <si>
    <t>Source = doctor/blood test, or user is vegan/vegetarian/60+: Tier 3 with 'get a level'. Otherwise Tier 2 (tested, found nothing).</t>
  </si>
  <si>
    <t>Bedroom temperature (thermostat)</t>
  </si>
  <si>
    <t>fitness</t>
  </si>
  <si>
    <t>A 2°C change moves deep sleep and time awake by about two-thirds of a swing for the average person. Use 1.0 if the room is over 21°C or the person wakes hot.</t>
  </si>
  <si>
    <t>Resting heart rate (trend over weeks)</t>
  </si>
  <si>
    <t>Long blocks only.</t>
  </si>
  <si>
    <t>Route on source and diet, not dose: vegan, vegetarian, over 60, on metformin or acid reducers, or doctor-sourced → Tier 3 'get a level'. Otherwise Tier 2 (tested, found nothing).</t>
  </si>
  <si>
    <t>Separate bedrooms some nights</t>
  </si>
  <si>
    <t>focus / memory</t>
  </si>
  <si>
    <t>If you eat meat and you're under 60, the energy you're hoping for isn't in this bottle; trials in people with normal levels are flat. If you're vegan or over 60, ignore that and get a level first.</t>
  </si>
  <si>
    <t>(none)</t>
  </si>
  <si>
    <t>About 10 fewer minutes awake apart; varies a lot.</t>
  </si>
  <si>
    <t>Not visible to a wearable. Daily one-tap rating.</t>
  </si>
  <si>
    <t>That trials in non-deficient people show no energy effect. Look for: Cochrane / systematic reviews of B12 supplementation in non-deficient adults.</t>
  </si>
  <si>
    <t>b-complex</t>
  </si>
  <si>
    <t>mood / anxiety</t>
  </si>
  <si>
    <t>Not visible. Daily one-tap rating. Diagnosed condition means Protected.</t>
  </si>
  <si>
    <t>Fluids after 8pm</t>
  </si>
  <si>
    <t>About 8 fewer minutes awake for people who wake to use the bathroom; near zero for people who don't. Use 1.0 if the person reports night bathroom trips.</t>
  </si>
  <si>
    <t>Earplugs</t>
  </si>
  <si>
    <t>About 8 fewer minutes awake in a noisy room; near zero in a quiet one. Use 1.0 for a loud street or a snoring partner.</t>
  </si>
  <si>
    <t>Blackout / light leak</t>
  </si>
  <si>
    <t>skin / hair</t>
  </si>
  <si>
    <t>B-complex</t>
  </si>
  <si>
    <t>Resting heart rate about 1 bpm lower and a few fewer minutes awake with real darkness.</t>
  </si>
  <si>
    <t>Not visible. Daily one-tap rating over 8 weeks.</t>
  </si>
  <si>
    <t>Late dinner (within 2–3 h of bed)</t>
  </si>
  <si>
    <t>gut / bloating</t>
  </si>
  <si>
    <t>Resting heart rate up 1 to 2 bpm overnight; sleep changes are small. Bigger for heavy meals; use 0.8 if the person eats their main meal within 90 min of bed.</t>
  </si>
  <si>
    <t>daily</t>
  </si>
  <si>
    <t>Not visible. Daily one-tap rating over 4 weeks.</t>
  </si>
  <si>
    <t>energy, stress</t>
  </si>
  <si>
    <t>10,000 steps / daily walk</t>
  </si>
  <si>
    <t>joints / pain / soreness</t>
  </si>
  <si>
    <t>Resting heart rate 1 bpm lower and sleep a little more solid on active days. Real but small night to night.</t>
  </si>
  <si>
    <t>Not visible. Daily one-tap rating.</t>
  </si>
  <si>
    <t>Cold plunge / ice bath</t>
  </si>
  <si>
    <t>Acute HRV changes are real but go both ways; evening plunges can delay sleep. Direction is the interesting part, so a test is still worth it if the person is choosing whether to buy one.</t>
  </si>
  <si>
    <t>weight</t>
  </si>
  <si>
    <t>Breathwork (box, 4-7-8, physiological sigh)</t>
  </si>
  <si>
    <t>Not a wearable number and not a two-week question. Shown as untestable here; the person's scale is the test.</t>
  </si>
  <si>
    <t>Big effect on HRV during the exercise; the part that carries into overnight HRV is modest.</t>
  </si>
  <si>
    <t>Same as B12: no effect on energy unless you're low in it.</t>
  </si>
  <si>
    <t>immunity</t>
  </si>
  <si>
    <t>Work email after 9pm</t>
  </si>
  <si>
    <t>As B12.</t>
  </si>
  <si>
    <t>Not testable on one person in any reasonable time. Evidence shown, no test offered.</t>
  </si>
  <si>
    <t>Later to fall asleep and lower HRV in studies that watched people; no controlled trial.</t>
  </si>
  <si>
    <t>TV in the bedroom</t>
  </si>
  <si>
    <t>longevity / general health</t>
  </si>
  <si>
    <t>Shorter, lighter sleep in studies that watched people.</t>
  </si>
  <si>
    <t>Same as B12: without a deficiency, this isn't where energy comes from.</t>
  </si>
  <si>
    <t>Not testable on one person, ever. Said plainly on day one; evidence and cost shown.</t>
  </si>
  <si>
    <t>Morning sunlight (10 min outdoors)</t>
  </si>
  <si>
    <t>Same as B12.</t>
  </si>
  <si>
    <t>5 to 10 min earlier to fall asleep after a week. Builds slowly; weekly blocks.</t>
  </si>
  <si>
    <t>testosterone / hormones</t>
  </si>
  <si>
    <t>iron</t>
  </si>
  <si>
    <t>Iron</t>
  </si>
  <si>
    <t>A blood test and a clinician. Never routed.</t>
  </si>
  <si>
    <t>People say it helps a lot; measured changes are about 5 min on falling asleep and staying asleep.</t>
  </si>
  <si>
    <t>Light therapy box (10,000 lux)</t>
  </si>
  <si>
    <t>18–65 mg</t>
  </si>
  <si>
    <t>energy, fatigue</t>
  </si>
  <si>
    <t>Body-clock nudge over a week. Mood effects are larger but invisible to a wearable.</t>
  </si>
  <si>
    <t>Eight Sleep / cooling mattress pad</t>
  </si>
  <si>
    <t>Company studies claim more; an independent guess is a modest gain in deep sleep and a small drop in resting heart rate. Use 0.9 if the person says they sleep hot.</t>
  </si>
  <si>
    <t>P</t>
  </si>
  <si>
    <t>Bedroom used for work</t>
  </si>
  <si>
    <t>Later to fall asleep when the bed means work; hard to assign for most people.</t>
  </si>
  <si>
    <t>A</t>
  </si>
  <si>
    <t>Life-changing if you're low in iron, which is common in women who menstruate and in endurance athletes. Harmful to take if you're not.</t>
  </si>
  <si>
    <t>Always Protected. Never routed to Tier 2.</t>
  </si>
  <si>
    <t>Iron without a confirmed low ferritin can cause harm. This needs a blood test, not an app.</t>
  </si>
  <si>
    <t>Second (or third) coffee</t>
  </si>
  <si>
    <t>We don't touch iron. It's the one supplement that's either exactly what you need or something you shouldn't take, and only a ferritin test can say which.</t>
  </si>
  <si>
    <t>Each extra cup after the first adds a modest, inconsistent amount. Only clear when the second cup is late.</t>
  </si>
  <si>
    <t>Harm from unneeded iron. Look for: NIH ODS iron fact sheet.</t>
  </si>
  <si>
    <t>Matcha / green tea in the afternoon</t>
  </si>
  <si>
    <t>multivitamin</t>
  </si>
  <si>
    <t>Multivitamin</t>
  </si>
  <si>
    <t>About a third of the caffeine of coffee, so about a third of the effect.</t>
  </si>
  <si>
    <t>Big carbohydrate dinner</t>
  </si>
  <si>
    <t>One small trial, about 5 min faster to fall asleep.</t>
  </si>
  <si>
    <t>general health</t>
  </si>
  <si>
    <t>Stretching / yoga before bed</t>
  </si>
  <si>
    <t>About 5 min faster to fall asleep in small trials.</t>
  </si>
  <si>
    <t>Meditation app (Calm, Headspace)</t>
  </si>
  <si>
    <t>Measured sleep changes are small, though people say they sleep better.</t>
  </si>
  <si>
    <t>Reading (paper) before bed</t>
  </si>
  <si>
    <t>Mostly measures what it replaces (a screen).</t>
  </si>
  <si>
    <t>Large trials in well-nourished adults show no effect on heart disease, cancer or mortality. Possibly a small cognitive benefit in older adults.</t>
  </si>
  <si>
    <t>Blue-light blocking glasses</t>
  </si>
  <si>
    <t>Tier 3 (untestable). Verdict shows cost and evidence, no push either way.</t>
  </si>
  <si>
    <t>About 5 min faster to fall asleep in small trials; the big review found little.</t>
  </si>
  <si>
    <t>Eye mask</t>
  </si>
  <si>
    <t>Modest gain in darkness unless the room is already dark.</t>
  </si>
  <si>
    <t>Think of it as insurance. The big trials say it doesn't change much for people who eat reasonably well, and it also doesn't do any harm. Keep it or don't; either is a fine answer.</t>
  </si>
  <si>
    <t>Cryotherapy sessions</t>
  </si>
  <si>
    <t>Small overnight HRV change.</t>
  </si>
  <si>
    <t>omega-3-fish-oil</t>
  </si>
  <si>
    <t>Omega-3 fish oil</t>
  </si>
  <si>
    <t>Float tank</t>
  </si>
  <si>
    <t>Small trials on relaxation.</t>
  </si>
  <si>
    <t>1–2 g EPA+DHA</t>
  </si>
  <si>
    <t>heart, mood, inflammation, joints</t>
  </si>
  <si>
    <t>Pet in the bed</t>
  </si>
  <si>
    <t>A couple of points on share of time asleep.</t>
  </si>
  <si>
    <t>Window open / fan at night</t>
  </si>
  <si>
    <t>Small studies on bedroom CO2.</t>
  </si>
  <si>
    <t>≥1 g EPA+DHA combined (many capsules are 300 mg)</t>
  </si>
  <si>
    <t>A modest benefit for blood fats, and possibly for mood, at 1 g a day and above. Most of the trials that found a benefit were in people who don't eat fish.</t>
  </si>
  <si>
    <t>EPA+DHA under 500 mg/day: Tier 2 (dose too low). Otherwise Tier 3. Source = doctor: Protected.</t>
  </si>
  <si>
    <t>EPA + DHA in mg per capsule (back of the bottle), capsules a day</t>
  </si>
  <si>
    <t>EPA + DHA combined under 500 mg a day → Tier 2 (dose too low). 500 mg to 1 g → Tier 3 with a 'below the studied dose' note. 1 g or more → Tier 3.</t>
  </si>
  <si>
    <t>omega-3</t>
  </si>
  <si>
    <t>Blood thinners: check with prescriber.</t>
  </si>
  <si>
    <t>Check the back of the bottle for EPA + DHA, not 'fish oil'. Under 500 mg combined is a dose the trials never found anything at. At 1 g or more we can't see it in your data, but the evidence is decent.</t>
  </si>
  <si>
    <t>1 g EPA+DHA threshold. Look for: AHA advisory; typical capsule contents.</t>
  </si>
  <si>
    <t>krill-oil</t>
  </si>
  <si>
    <t>Krill oil</t>
  </si>
  <si>
    <t>Dessert / sugar before bed</t>
  </si>
  <si>
    <t>Lighter sleep in studies that watched people; no controlled trial.</t>
  </si>
  <si>
    <t>500 mg</t>
  </si>
  <si>
    <t>heart, joints</t>
  </si>
  <si>
    <t>Morning workout before 8am</t>
  </si>
  <si>
    <t>Small body-clock nudge over days.</t>
  </si>
  <si>
    <t>Cold shower (morning)</t>
  </si>
  <si>
    <t>Alertness is real; overnight numbers barely move.</t>
  </si>
  <si>
    <t>NSDR / yoga nidra</t>
  </si>
  <si>
    <t>≥1 g EPA+DHA</t>
  </si>
  <si>
    <t>Small trials; relaxation is real, overnight change is small.</t>
  </si>
  <si>
    <t>The same omega-3 fats as fish oil, at a much smaller dose and several times the price.</t>
  </si>
  <si>
    <t>Mouth tape</t>
  </si>
  <si>
    <t>dose too low</t>
  </si>
  <si>
    <t>Tier 2 (dose too low) unless taking 3+ capsules.</t>
  </si>
  <si>
    <t>No measured effect in people without snoring. Use 0.8 if the person or partner reports snoring.</t>
  </si>
  <si>
    <t>capsules a day; EPA + DHA per capsule</t>
  </si>
  <si>
    <t>Nasal strips / dilator</t>
  </si>
  <si>
    <t>EPA + DHA under 1 g a day → Tier 2 (dose too low). Almost every krill product fires this at label dose.</t>
  </si>
  <si>
    <t>Small airflow gain. Use 0.7 if the person reports a blocked nose or snoring.</t>
  </si>
  <si>
    <t>This is fish oil at a smaller dose and a higher price. If omega-3 is the goal, plain fish oil at 1 g EPA+DHA gets you what the trials used, for less.</t>
  </si>
  <si>
    <t>White noise / sound machine</t>
  </si>
  <si>
    <t>Typical EPA+DHA per capsule (about 100 to 150 mg) versus fish oil trial doses. Check three best-selling labels.</t>
  </si>
  <si>
    <t>Helps only where there's noise to cover.</t>
  </si>
  <si>
    <t>flaxseed-oil-as-omega-3</t>
  </si>
  <si>
    <t>Flaxseed oil (as omega-3)</t>
  </si>
  <si>
    <t>Sleep headphones / sleep stories</t>
  </si>
  <si>
    <t>Almost no research.</t>
  </si>
  <si>
    <t>Air purifier (bedroom)</t>
  </si>
  <si>
    <t>1 tbsp</t>
  </si>
  <si>
    <t>omega-3, heart</t>
  </si>
  <si>
    <t>Use 0.7 for allergy sufferers or heavy traffic.</t>
  </si>
  <si>
    <t>Conversion of plant ALA to EPA/DHA is under 10%. Doesn't raise blood levels the way fish oil does.</t>
  </si>
  <si>
    <t>form not absorbed</t>
  </si>
  <si>
    <t>Goal omega-3: Tier 2 (form not absorbed). As a food, fine.</t>
  </si>
  <si>
    <t>Your body converts very little of this into the omega-3s fish oil provides. Fine as a food, not as a substitute.</t>
  </si>
  <si>
    <t>ALA to EPA/DHA conversion under 10%. Look for: Burdge &amp; Calder 2005.</t>
  </si>
  <si>
    <t>creatine-monohydrate</t>
  </si>
  <si>
    <t>Creatine monohydrate</t>
  </si>
  <si>
    <t>3–5 g daily</t>
  </si>
  <si>
    <t>strength, cognition, energy</t>
  </si>
  <si>
    <t>Snoozing the alarm</t>
  </si>
  <si>
    <t>The 2023 trial found essentially nothing.</t>
  </si>
  <si>
    <t>Sunrise alarm (Hatch etc.)</t>
  </si>
  <si>
    <t>Small change in how awake people feel; little change in the numbers.</t>
  </si>
  <si>
    <t>Pillow</t>
  </si>
  <si>
    <t>≥3 g/day</t>
  </si>
  <si>
    <t>Little research.</t>
  </si>
  <si>
    <t>One of the best-supported supplements there is for strength and muscle in people who train. There's growing evidence it helps thinking when you're short on sleep.</t>
  </si>
  <si>
    <t>Dose under 2 g: Tier 2 (dose too low). Otherwise Tier 3 with 'strong evidence, keep if you lift'. Never Tier 1: saturation takes weeks, so alternation is invalid.</t>
  </si>
  <si>
    <t>monohydrate · HCl · buffered · blend; g a day</t>
  </si>
  <si>
    <t>Humidifier</t>
  </si>
  <si>
    <t>dose under 2 g a day → Tier 2 (dose too low). form = HCl, buffered, or 'creatine blend' → verdict notes monohydrate is the studied form. Otherwise Tier 3 keep.</t>
  </si>
  <si>
    <t>No trials; a comfort item.</t>
  </si>
  <si>
    <t>Take with water; a small water-weight gain is normal. Fine for kidneys in healthy adults.</t>
  </si>
  <si>
    <t>We can't see this in sleep or HRV, and that's fine, because the evidence here is strong. If you lift, keep it. If you don't, it's mostly doing nothing.</t>
  </si>
  <si>
    <t>3 g minimum. Look for: ISSN position stand (Kreider 2017).</t>
  </si>
  <si>
    <t>protein-powder</t>
  </si>
  <si>
    <t>Protein powder</t>
  </si>
  <si>
    <t>1–2 scoops</t>
  </si>
  <si>
    <t>muscle, satiety</t>
  </si>
  <si>
    <t>It's food. Useful if you don't get enough protein from meals, irrelevant if you do.</t>
  </si>
  <si>
    <t>Tier 3 (food). Verdict shows cost.</t>
  </si>
  <si>
    <t>No flip.</t>
  </si>
  <si>
    <t>This is food, not a supplement, so there's no verdict to give. If it helps you hit protein, keep it. If you already eat enough, it's an expensive way to buy calories.</t>
  </si>
  <si>
    <t>bcaas</t>
  </si>
  <si>
    <t>BCAAs</t>
  </si>
  <si>
    <t>5–10 g</t>
  </si>
  <si>
    <t>muscle, recovery</t>
  </si>
  <si>
    <t>If you eat enough protein, BCAAs add nothing, and that's been tested several times. They're already in the protein you eat.</t>
  </si>
  <si>
    <t>Tier 2 (tested, found nothing).</t>
  </si>
  <si>
    <t>These are already in every protein source you eat. Trials in people eating enough protein show nothing extra. Easy $25 back.</t>
  </si>
  <si>
    <t>That BCAAs add nothing with adequate protein. Look for: Wolfe 2017 JISSN review.</t>
  </si>
  <si>
    <t>glutamine</t>
  </si>
  <si>
    <t>Glutamine</t>
  </si>
  <si>
    <t>5 g</t>
  </si>
  <si>
    <t>gut, recovery</t>
  </si>
  <si>
    <t>Found nothing for recovery in healthy adults. The gut evidence is from hospital patients only.</t>
  </si>
  <si>
    <t>Goal gut with a diagnosed condition: Protected. Otherwise Tier 2.</t>
  </si>
  <si>
    <t>Useful in hospitals, not in healthy people. This one can go.</t>
  </si>
  <si>
    <t>No recovery benefit in healthy adults. Look for: Gleeson 2008 review.</t>
  </si>
  <si>
    <t>beta-alanine</t>
  </si>
  <si>
    <t>Beta-alanine</t>
  </si>
  <si>
    <t>3–6 g</t>
  </si>
  <si>
    <t>endurance, performance</t>
  </si>
  <si>
    <t>Reliably helps with hard efforts lasting 1 to 4 minutes. Does nothing for longer or shorter efforts. The tingling it causes is harmless.</t>
  </si>
  <si>
    <t>Tier 3: keep for rowing / 800 m / CrossFit-type efforts, otherwise verdict says it's not for your training.</t>
  </si>
  <si>
    <t>g a day</t>
  </si>
  <si>
    <t>dose under 2 g a day → Tier 2 (dose too low). Otherwise Tier 3, with the 1-to-4-minute note.</t>
  </si>
  <si>
    <t>Works, but only for hard efforts of one to four minutes. If that's your sport, keep it. If you run long or lift heavy, it isn't doing anything for you.</t>
  </si>
  <si>
    <t>pre-workout</t>
  </si>
  <si>
    <t>1 scoop (150–300 mg caffeine)</t>
  </si>
  <si>
    <t>energy, performance</t>
  </si>
  <si>
    <t>worse if late</t>
  </si>
  <si>
    <t>The caffeine in it works. Most of the other ingredients are in amounts too small to matter. Taken after 2pm, it costs you sleep.</t>
  </si>
  <si>
    <t>Used after 1pm: Tier 1 as caffeine timing. Otherwise Tier 3.</t>
  </si>
  <si>
    <t>caffeine before training</t>
  </si>
  <si>
    <t>If you take this after lunch, it's a caffeine-timing experiment, and one of the most reliable ones we run.</t>
  </si>
  <si>
    <t>electrolytes-lmnt-etc</t>
  </si>
  <si>
    <t>Electrolytes (LMNT etc.)</t>
  </si>
  <si>
    <t>1 packet daily (~1 g sodium)</t>
  </si>
  <si>
    <t>hydration, energy, cramps</t>
  </si>
  <si>
    <t>Glossary: every technical word in this file, in plain English</t>
  </si>
  <si>
    <t>Resting heart rate; sleep</t>
  </si>
  <si>
    <t>No sleep effect to expect.</t>
  </si>
  <si>
    <t>Word</t>
  </si>
  <si>
    <t>What it means</t>
  </si>
  <si>
    <t>Useful if you sweat heavily or eat very low-carb. For a normal day, plain water does the same and the extra sodium isn't helpful.</t>
  </si>
  <si>
    <t>HRV (heart rate variability)</t>
  </si>
  <si>
    <t>Trains over 1 h/day or keto: Tier 3 keep. Otherwise Tier 3 with 'water does this'. Goal sleep: Tier 1.</t>
  </si>
  <si>
    <t>frequency</t>
  </si>
  <si>
    <t>How many times in the last 30 days?</t>
  </si>
  <si>
    <t>training sessions over an hour, per week</t>
  </si>
  <si>
    <t>Training over an hour a day, or keto → Tier 3 keep. Otherwise Tier 3 with 'water does this'. Fires the frequency question for training, not for the product.</t>
  </si>
  <si>
    <t>electrolytes</t>
  </si>
  <si>
    <t>High blood pressure: a gram of sodium a day on top of diet is not trivial.</t>
  </si>
  <si>
    <t>If you're sweating hard for an hour a day, this earns its place. If you're not, water does the same job, and this is mostly salt and flavour at $45 a month.</t>
  </si>
  <si>
    <t>greens-powder-ag1-etc</t>
  </si>
  <si>
    <t>Greens powder (AG1 etc.)</t>
  </si>
  <si>
    <t>The tiny changes in timing between one heartbeat and the next. Higher usually means rested and recovering well; lower means under strain. It's the number that drops the morning after drinks. In user-facing text we call it 'the recovery number'.</t>
  </si>
  <si>
    <t>Resting heart rate</t>
  </si>
  <si>
    <t>1 scoop</t>
  </si>
  <si>
    <t>general health, energy, gut</t>
  </si>
  <si>
    <t>Heart rate while asleep. Lower is generally better. Very steady night to night, so small changes stand out.</t>
  </si>
  <si>
    <t>The stage where the body does most physical repair. Mostly the first half of the night.</t>
  </si>
  <si>
    <t>REM sleep</t>
  </si>
  <si>
    <t>The dreaming stage. Alcohol and cannabis cut it down; stopping them causes a few nights of extra REM (the 'catch-up' effect).</t>
  </si>
  <si>
    <t>Minutes from lights-out to asleep. Wearables estimate it; Oura and WHOOP do it better than Apple or Garmin.</t>
  </si>
  <si>
    <t>Minutes awake after first falling asleep.</t>
  </si>
  <si>
    <t>Share of time in bed actually asleep</t>
  </si>
  <si>
    <t>Asleep minutes divided by minutes in bed. Above about 85% is normal.</t>
  </si>
  <si>
    <t>Normal night-to-night swing</t>
  </si>
  <si>
    <t>How much a number bounces around from one night to the next for one person with nothing changed. Also called the standard deviation. Every verdict compares the change we saw to this swing.</t>
  </si>
  <si>
    <t>Expected effect (in units of the swing)</t>
  </si>
  <si>
    <t>How big the change is likely to be, divided by the swing. 1.0 = 'about as big as a normal bad night versus a normal good night'. Under 0.8, a two-week test usually can't tell the effect apart from noise.</t>
  </si>
  <si>
    <t>Inconclusive</t>
  </si>
  <si>
    <t>The change was inside the person's normal swing, so we can't tell whether it did anything. A real answer, not a failed test.</t>
  </si>
  <si>
    <t>3 days on, 3 days off</t>
  </si>
  <si>
    <t>The standard test. Same person compared with themselves, so most of life's noise cancels out.</t>
  </si>
  <si>
    <t>Fast versus slow</t>
  </si>
  <si>
    <t>Fast = comes and goes within hours. Slow = builds or clears over weeks. Slow things can't be tested in 3-day blocks.</t>
  </si>
  <si>
    <t>Catch-up (rebound) effect</t>
  </si>
  <si>
    <t>Stopping something makes things temporarily worse than before you started (cannabis and REM). It breaks simple on/off tests.</t>
  </si>
  <si>
    <t>There are no independent studies of the product. It's a low-dose multivitamin plus a blend of ingredients whose amounts aren't disclosed.</t>
  </si>
  <si>
    <t>Tier 3 (untestable). Verdict shows annual cost prominently.</t>
  </si>
  <si>
    <t>still paying</t>
  </si>
  <si>
    <t>Still paying for it?</t>
  </si>
  <si>
    <t>Yes · no · not sure. Prefilled from the subscriptions list where the person connected one.</t>
  </si>
  <si>
    <t>still paying = yes → Tier 3 with annual cost. Overlap group 'daily multivitamin' → overlap check.</t>
  </si>
  <si>
    <t>We can't measure this one and neither has anyone else; there are no independent trials. What we can show you is that it's over a thousand dollars a year. That's the whole verdict, and the call is yours.</t>
  </si>
  <si>
    <t>No independent trials. Search PubMed for the brand; note funding of anything found.</t>
  </si>
  <si>
    <t>collagen-peptides</t>
  </si>
  <si>
    <t>Collagen peptides</t>
  </si>
  <si>
    <t>Number</t>
  </si>
  <si>
    <t>Unit</t>
  </si>
  <si>
    <t>What it tells you</t>
  </si>
  <si>
    <t>Oura</t>
  </si>
  <si>
    <t>WHOOP</t>
  </si>
  <si>
    <t>10–15 g</t>
  </si>
  <si>
    <t>Apple Watch</t>
  </si>
  <si>
    <t>skin, joints, hair</t>
  </si>
  <si>
    <t>Garmin / Fitbit</t>
  </si>
  <si>
    <t>Normal night-to-night swing for one person</t>
  </si>
  <si>
    <t>Change we could reliably spot in a 2-week test</t>
  </si>
  <si>
    <t>What usually moves it</t>
  </si>
  <si>
    <t>Things to know</t>
  </si>
  <si>
    <t>min</t>
  </si>
  <si>
    <t>How long you were asleep in total</t>
  </si>
  <si>
    <t>about 45 min</t>
  </si>
  <si>
    <t>about 55 to 70 min</t>
  </si>
  <si>
    <t>≥10 g/day</t>
  </si>
  <si>
    <t>Caffeine timing, alcohol, late fluids, a regular wake time, screens</t>
  </si>
  <si>
    <t>The most reliable number across devices. Default for any 'sleep' goal unless the row names another.</t>
  </si>
  <si>
    <t>Several trials found small improvements in skin elasticity and joint pain after 8 to 12 weeks at 10 to 15 g a day. Many of those trials were paid for by the companies that sell it.</t>
  </si>
  <si>
    <t>Dose under 5 g: Tier 2 (dose too low). Otherwise Tier 3 with skin/joint rating.</t>
  </si>
  <si>
    <t>Minutes from lights-out to asleep</t>
  </si>
  <si>
    <t>estimated</t>
  </si>
  <si>
    <t>g a day (a scoop is usually 10 g)</t>
  </si>
  <si>
    <t>about 10 min</t>
  </si>
  <si>
    <t>dose under 5 g a day → Tier 2 (dose too low). 5 to 10 g → Tier 3 with 'below the studied dose'. 10 g or more → Tier 3 with skin/joint rating.</t>
  </si>
  <si>
    <t>about 12 to 16 min</t>
  </si>
  <si>
    <t>collagen</t>
  </si>
  <si>
    <t>Hot bath, melatonin, caffeine, screens, evening exercise, a worry list</t>
  </si>
  <si>
    <t>Devices guess when lights went out, so this is noisier on Apple and Garmin. Ignore nights over 60 minutes as one-offs.</t>
  </si>
  <si>
    <t>Invisible to a ring, and the trials that found something used 10 grams for two months. If you want to know, a daily one-tap skin or joint rating over eight weeks is the honest way.</t>
  </si>
  <si>
    <t>10 to 15 g trials and their funding. Look for: de Miranda 2021 meta-analysis (note sponsor declarations).</t>
  </si>
  <si>
    <t>Physical-repair sleep</t>
  </si>
  <si>
    <t>biotin</t>
  </si>
  <si>
    <t>Biotin</t>
  </si>
  <si>
    <t>about 15 min</t>
  </si>
  <si>
    <t>about 18 to 24 min</t>
  </si>
  <si>
    <t>Alcohol (less, late in the night), room temperature, exercise</t>
  </si>
  <si>
    <t>Consumer sleep-stage numbers agree with a lab sleep study only about 60 to 70% of the time. A rough guide.</t>
  </si>
  <si>
    <t>5,000–10,000 mcg</t>
  </si>
  <si>
    <t>hair, nails</t>
  </si>
  <si>
    <t>Dreaming sleep</t>
  </si>
  <si>
    <t>Alcohol (less), cannabis (less), late caffeine (less)</t>
  </si>
  <si>
    <t>Same rough-guide warning. Stopping alcohol or cannabis causes extra REM for a few nights, which confuses on/off tests.</t>
  </si>
  <si>
    <t>Minutes awake after first falling asleep</t>
  </si>
  <si>
    <t>about 12 min</t>
  </si>
  <si>
    <t>about 15 to 19 min</t>
  </si>
  <si>
    <t>It only helps if you're deficient, and almost nobody is. It also interferes with common blood tests, including thyroid and heart tests.</t>
  </si>
  <si>
    <t>Fluids after 8pm, alcohol, noise, light, pets, partner, kids</t>
  </si>
  <si>
    <t>Leave out any night marked 'kids woke me'.</t>
  </si>
  <si>
    <t>Tier 2 (tested, found nothing). Safety note always shown.</t>
  </si>
  <si>
    <t>Share of time in bed asleep</t>
  </si>
  <si>
    <t>%</t>
  </si>
  <si>
    <t>Asleep minutes divided by minutes in bed</t>
  </si>
  <si>
    <t>Which verdict</t>
  </si>
  <si>
    <t>Tell your doctor you take it before any blood test; it can distort results.</t>
  </si>
  <si>
    <t>Template (words in braces get filled in)</t>
  </si>
  <si>
    <t>about 4 points</t>
  </si>
  <si>
    <t>Unless you're deficient, which almost nobody is, this doesn't grow hair. And it can throw off blood tests, which is a real reason to stop, not just a financial one.</t>
  </si>
  <si>
    <t>about 5 to 6 points</t>
  </si>
  <si>
    <t>Example, filled in</t>
  </si>
  <si>
    <t>A regular wake time, blackout, earplugs, temperature</t>
  </si>
  <si>
    <t>Can't go above 100, so little room to improve above about 92%.</t>
  </si>
  <si>
    <t>No hair benefit without deficiency; lab-test interference. Look for: Patel 2017 review; FDA 2017/2019 biotin interference safety communication.</t>
  </si>
  <si>
    <t>Tier 1, kept</t>
  </si>
  <si>
    <t>ms</t>
  </si>
  <si>
    <t>hyaluronic-acid-oral</t>
  </si>
  <si>
    <t>The recovery number: how rested and unstrained your body is</t>
  </si>
  <si>
    <t>Hyaluronic acid (oral)</t>
  </si>
  <si>
    <t>{item}: {number} was {change} better on the days you did it, against your normal swing of {swing}. That's real, and it's yours. Kept.</t>
  </si>
  <si>
    <t>Morning walk: your overnight HRV was 6 points higher on the days you walked, against your normal swing of 3. That's real, and it's yours. Kept.</t>
  </si>
  <si>
    <t>spot checks only</t>
  </si>
  <si>
    <t>Tier 1, dropped</t>
  </si>
  <si>
    <t>about 12 ms (about 20% of the person's average)</t>
  </si>
  <si>
    <t>about 15 to 19 ms</t>
  </si>
  <si>
    <t>{item}: {number} was {change} worse on the days you did it, outside your normal swing of {swing}. {months} months in{source_clause}. Dropped, and {cost} a month back.</t>
  </si>
  <si>
    <t>Alcohol (down 10 to 25%), late training, illness, slow breathing (up), sauna</t>
  </si>
  <si>
    <t>Training after 7pm: your total sleep was 41 minutes shorter on the nights you trained late, outside your normal swing of 30. Fourteen months in, and you'd never had a way to check. Dropped.</t>
  </si>
  <si>
    <t>120–240 mg</t>
  </si>
  <si>
    <t>Most sensitive to alcohol and stress. The swing grows with the average, so compare in proportion. Apple Watch only samples now and then.</t>
  </si>
  <si>
    <t>skin, joints</t>
  </si>
  <si>
    <t>Tier 1, inconclusive</t>
  </si>
  <si>
    <t>bpm</t>
  </si>
  <si>
    <t>{item}: {change} on {number}, inside your normal swing of {swing}. At this dose, your body didn't show a change we could detect. That's a real answer, not a failed one. Your call whether it stays. It costs {cost} a month.</t>
  </si>
  <si>
    <t>Heart rate while asleep</t>
  </si>
  <si>
    <t>Melatonin: 3 minutes faster to fall asleep, inside your normal swing of 10. At this dose, your body didn't show a change we could detect. That's a real answer, not a failed one. Your call whether it stays. It costs $10 a month.</t>
  </si>
  <si>
    <t>Tier 1, day-one hypothesis from history</t>
  </si>
  <si>
    <t>about 2.5 bpm</t>
  </si>
  <si>
    <t>{item}: on the {n_on} nights in the last {months} months when you {did it}, {number} was {change} {better/worse} than the other {n_off} nights. That's a pattern, not proof yet; other things differed on those nights too. Want to test it properly?</t>
  </si>
  <si>
    <t>about 3 to 4 bpm</t>
  </si>
  <si>
    <t>Training after 7pm: on the 22 nights in the last six months when you trained late, your total sleep was 34 minutes shorter than the other 140 nights. That's a pattern, not proof yet; other things differed on those nights too. Want to test it properly?</t>
  </si>
  <si>
    <t>Alcohol (up), late meal (up), illness, stimulants, fitness (down over weeks)</t>
  </si>
  <si>
    <t>Very steady, so small changes stand out. Shifts 1 to 2 bpm across the menstrual cycle; note cycle phase where the person opts in.</t>
  </si>
  <si>
    <t>Tier 1, observe-only (morning after)</t>
  </si>
  <si>
    <t>Last night: {what}. {number} came in {change} under your usual, and you were awake {awake} minutes more than normal. That's one {what}-night logged. {remaining} to go.</t>
  </si>
  <si>
    <t>Breathing rate</t>
  </si>
  <si>
    <t>Last night: two drinks. Your HRV came in 19 points under your usual, and you were awake 34 minutes more than normal. That's one drinking night logged. Twelve to go.</t>
  </si>
  <si>
    <t>breaths/min</t>
  </si>
  <si>
    <t>Small trials for skin hydration and knee pain. The effects are modest.</t>
  </si>
  <si>
    <t>Breaths per minute asleep</t>
  </si>
  <si>
    <t>Tier 1, slow (can't run yet)</t>
  </si>
  <si>
    <t>Tier 3 with rating.</t>
  </si>
  <si>
    <t>{item}: this works over weeks, not nights, so a two-week on/off test would be unfair to it. What the trials found: {evidence}. We've put it in the queue for a longer test.</t>
  </si>
  <si>
    <t>some</t>
  </si>
  <si>
    <t>Ashwagandha: this works over weeks, not nights, so a two-week on/off test would be unfair to it. What the trials found: people said they felt less stressed after 6 to 8 weeks. We've put it in the queue for a longer test.</t>
  </si>
  <si>
    <t>about 0.5</t>
  </si>
  <si>
    <t>about 0.6 to 0.8</t>
  </si>
  <si>
    <t>dose under 120 mg → Tier 2 (dose too low). Otherwise Tier 3 with skin rating.</t>
  </si>
  <si>
    <t>Tier 3, effect too small to see (new in v3)</t>
  </si>
  <si>
    <t>Illness, alcohol, nasal strips, air quality</t>
  </si>
  <si>
    <t>Can't see it; small trials say maybe. A daily skin rating for eight weeks is the test.</t>
  </si>
  <si>
    <t>Mostly an early-illness flag.</t>
  </si>
  <si>
    <t>{hook} Even when it works, the studies found a change of about {fraction} of one night's normal swing, so a two-week test would very likely come back inconclusive. We'll show you what the trials found and what it costs. If you'd still like to run the test, you can, knowing that going in.</t>
  </si>
  <si>
    <t>Skin temperature</t>
  </si>
  <si>
    <t>Magnesium glycinate: even in the studies where it worked, the change was a few minutes, mostly in people who were low in magnesium. Even when it works, the studies found a change of about a third of one night's normal swing, so a two-week test would very likely come back inconclusive. We'll show you what the trials found and what it costs. If you'd still like to run the test, you can, knowing that going in.</t>
  </si>
  <si>
    <t>°C from your usual</t>
  </si>
  <si>
    <t>How far tonight is from your own normal</t>
  </si>
  <si>
    <t>turmeric-curcumin</t>
  </si>
  <si>
    <t>Tier 2, dose too low</t>
  </si>
  <si>
    <t>Turmeric / curcumin</t>
  </si>
  <si>
    <t>{item}: the amount you're taking ({dose}) is below what the studies used ({threshold}). Nothing about you is the problem; the amount is. {cost} a month back, or step up to the studied amount and we'll test it properly.</t>
  </si>
  <si>
    <t>yes (4.0 and later)</t>
  </si>
  <si>
    <t>yes (Series 8 and later)</t>
  </si>
  <si>
    <t>Krill oil: the amount you're taking (500 mg) is below what the studies used (1 g of EPA and DHA). Nothing about you is the problem; the amount is. $30 a month back, or step up to the studied amount and we'll test it properly.</t>
  </si>
  <si>
    <t>about 0.25</t>
  </si>
  <si>
    <t>about 0.3</t>
  </si>
  <si>
    <t>Tier 2, form not absorbed</t>
  </si>
  <si>
    <t>500–1,000 mg</t>
  </si>
  <si>
    <t>Alcohol, late meal, illness, room temperature, cycle phase</t>
  </si>
  <si>
    <t>{item}: this version ({form}) isn't absorbed well enough to do what you bought it for. Same ingredient, different version, and it becomes testable. {cost} a month back either way.</t>
  </si>
  <si>
    <t>joints, inflammation</t>
  </si>
  <si>
    <t>Part of the alcohol 'signature' the app can spot. Leave out of tests where the cycle would confuse it.</t>
  </si>
  <si>
    <t>Magnesium oxide: this version isn't absorbed well enough to do what you bought it for. Same ingredient as glycinate, and that one can be tested. $8 a month back either way.</t>
  </si>
  <si>
    <t>Steps / activity</t>
  </si>
  <si>
    <t>Tier 2, tested and found nothing</t>
  </si>
  <si>
    <t>count</t>
  </si>
  <si>
    <t>How much you moved today</t>
  </si>
  <si>
    <t>{item}: this has been tested properly, more than once, and it didn't do what it's sold for. You did the reasonable thing with the information you had. {months} months in{source_clause}. {cost} a month back.</t>
  </si>
  <si>
    <t>Ginkgo: this has been tested properly, more than once, and it didn't do what it's sold for. You did the reasonable thing with the information you had. Two years in, on a friend's word. $15 a month back.</t>
  </si>
  <si>
    <t>Tier 2, no way it could work</t>
  </si>
  <si>
    <t>not used as an outcome</t>
  </si>
  <si>
    <t>{item}: there's no known way for this to do what it claims, and no study says otherwise. If it's part of a routine you like, keep the routine. The {cost} is the only thing on trial.</t>
  </si>
  <si>
    <t>An input, not a result</t>
  </si>
  <si>
    <t>Salt lamp: there's no known way for this to do what it claims, and no study says otherwise. It's a nice lamp. Keep the lamp.</t>
  </si>
  <si>
    <t>Defines 'on' days for walking tests; flags days that shouldn't count.</t>
  </si>
  <si>
    <t>Tier 2, duplicate</t>
  </si>
  <si>
    <t>Workouts (with start time)</t>
  </si>
  <si>
    <t>formulated versions only (piperine, phytosome)</t>
  </si>
  <si>
    <t>{item} and {other} do the same job. Keep the one you like; the other {cost} a month can go.</t>
  </si>
  <si>
    <t>list</t>
  </si>
  <si>
    <t>Oura and WHOOP do the same job. Keep the one you like; the other $30 a month can go.</t>
  </si>
  <si>
    <t>When and how hard you trained</t>
  </si>
  <si>
    <t>Decent trials for knee arthritis pain, but only with forms designed to be absorbed. Plain turmeric powder in a capsule is barely absorbed at all.</t>
  </si>
  <si>
    <t>Tier 3, with a daily rating offered</t>
  </si>
  <si>
    <t>{item}: we can't see this in your data, and we won't pretend to. It costs {annual} a year. What the studies found: {evidence}. If you want an answer, a one-tap {goal} rating each day for {weeks} weeks is the honest way to get one.</t>
  </si>
  <si>
    <t>Plain turmeric powder: Tier 2 (form not absorbed). Formulated curcumin with joint goal: Tier 3 with pain rating.</t>
  </si>
  <si>
    <t>Collagen: we can't see this in your data, and we won't pretend to. It costs $420 a year. What the studies found: small skin and joint improvements at 10 g a day after two months. If you want an answer, a one-tap skin rating each day for eight weeks is the honest way to get one.</t>
  </si>
  <si>
    <t>This is how 'training after 7pm' can be read from history with no tagging at all.</t>
  </si>
  <si>
    <t>Tier 3, keep (strong evidence)</t>
  </si>
  <si>
    <t>plain turmeric · curcumin with piperine · phytosome / Meriva · other; mg</t>
  </si>
  <si>
    <t>{item}: a ring can't see this, and the evidence is strong anyway. Keep. Nothing to test here.</t>
  </si>
  <si>
    <t>Creatine: a ring can't see this, and the evidence is strong anyway. If you lift, keep. Nothing to test here.</t>
  </si>
  <si>
    <t>form = plain turmeric powder or spice capsule → Tier 2 (form not absorbed). form = curcumin with piperine, phytosome, or micellar → Tier 3 with pain rating.</t>
  </si>
  <si>
    <t>How 'measurable' is decided, in plain words (what the guarantee rests on)</t>
  </si>
  <si>
    <t>Blood thinners, gallstones: check.</t>
  </si>
  <si>
    <t>Tier 3, can't test (no specific goal)</t>
  </si>
  <si>
    <t>If the label says 'turmeric' without a form designed to be absorbed, almost none of it is absorbed. If it's a proper curcumin, we can't see it in your data but a pain rating can.</t>
  </si>
  <si>
    <t>{item}: you're taking this for general health, which is a real reason and not one a wearable can check. {annual} a year. We'll leave it in your count and out of your experiments.</t>
  </si>
  <si>
    <t>Multivitamin: you're taking this for general health, which is a real reason and not one a wearable can check. $180 a year. We'll leave it in your count and out of your experiments.</t>
  </si>
  <si>
    <t>First week: the app watches, to learn the person's normal. From that week plus all 'off' days it works out each number's normal night-to-night swing for that person.</t>
  </si>
  <si>
    <t>Tier 3, free and harmless</t>
  </si>
  <si>
    <t>glucosamine-chondroitin</t>
  </si>
  <si>
    <t>{item}: costs nothing, can't be measured, and if it's yours, it's yours.</t>
  </si>
  <si>
    <t>Glucosamine / chondroitin</t>
  </si>
  <si>
    <t>Gratitude journal: costs nothing, can't be measured, and if it's yours, it's yours.</t>
  </si>
  <si>
    <t>The test: two weeks of 3 on, 3 off. On-nights versus off-nights (usually 7 against 7; fewer if taps were missed, and a missed tap is 'unknown', never 'failed'). One question: is the difference bigger than this person's normal swing by enough that it would only happen by chance about 1 time in 20, in the direction we said before the start? Yes = kept or dropped. No = inconclusive. The number is shown either way.</t>
  </si>
  <si>
    <t>{item}: this came from your clinician, so we don't rate it, test it, or suggest stopping it. It stays in your count only if you want it there.</t>
  </si>
  <si>
    <t>1,500 mg</t>
  </si>
  <si>
    <t>Iron: this came from your blood test, so we don't rate it, test it, or suggest stopping it. It stays in your count only if you want it there.</t>
  </si>
  <si>
    <t>joints</t>
  </si>
  <si>
    <t>The 'where it came from' clause</t>
  </si>
  <si>
    <t>In practice: with 7 nights a side, the difference needs to be about one and a half times the swing to count reliably. That is why the Items sheet carries an expected-effect column and why rows under 0.8 are not sent to a two-week test by default. Alcohol on HRV and afternoon caffeine on total sleep are one to two swings, so they usually resolve. Magnesium on deep sleep is a fifth to a third of a swing, so it would almost always come back inconclusive, and the person is told that on day one instead.</t>
  </si>
  <si>
    <t>influencer: ', from something you saw online' | friend: ', on a friend's word' | podcast: ', after a podcast' | ad: ', from an ad' | don't remember: ', and you don't remember why, which is its own kind of answer' | doctor: never reached, it's Protected</t>
  </si>
  <si>
    <t>Rule: the source is context, never a punchline. Say it once, in the past tense, and move on.</t>
  </si>
  <si>
    <t>Nights that shouldn't count: the person can flag a night (ill, travelling, a child woke them, an unusually hard session) and it's left out. Weekend nights are spread evenly by starting the schedule on a Monday.</t>
  </si>
  <si>
    <t>Reading history first: for items the wearable already records (workouts, wake times, naps) or that the person has been tagging, the app can compare past on-nights and off-nights before any test. Treat that as a hypothesis, not a verdict: those nights weren't randomised, so other things differed too. The test confirms it.</t>
  </si>
  <si>
    <t>The large trials mostly found nothing. People with moderate to severe knee pain may get some relief.</t>
  </si>
  <si>
    <t>Where the data comes from this semester</t>
  </si>
  <si>
    <t>Tier 3 with pain rating.</t>
  </si>
  <si>
    <t>Oura and WHOOP: connect with one tap and get their history, including tags and workouts. Apple Health needs an iPhone app, which the team can't build this semester. So version 1 is Oura or WHOOP, or typing in the nightly numbers by hand.</t>
  </si>
  <si>
    <t>mg a day</t>
  </si>
  <si>
    <t>dose under 1,000 mg a day → Tier 2 (dose too low). Otherwise Tier 3 with pain rating.</t>
  </si>
  <si>
    <t>The big trials were mostly disappointing. If your knees say otherwise, a daily rating will show it.</t>
  </si>
  <si>
    <t>coq10</t>
  </si>
  <si>
    <t>CoQ10</t>
  </si>
  <si>
    <t>100–200 mg</t>
  </si>
  <si>
    <t>energy, heart</t>
  </si>
  <si>
    <t>Helps with muscle aches caused by statin drugs, and in some heart conditions. It does nothing for energy in healthy adults.</t>
  </si>
  <si>
    <t>On a statin: Tier 3 keep. Otherwise Tier 3 with 'not for energy in healthy people'.</t>
  </si>
  <si>
    <t>Real use if you're on a statin and achy. As a general energy supplement, the evidence isn't there.</t>
  </si>
  <si>
    <t>nmn-nr</t>
  </si>
  <si>
    <t>NMN / NR</t>
  </si>
  <si>
    <t>250–1,000 mg</t>
  </si>
  <si>
    <t>longevity, energy</t>
  </si>
  <si>
    <t>Items we never assign as an on-day (alcohol, nicotine). We record them when they happen and compare.</t>
  </si>
  <si>
    <t>Whether the wearable's past data already contains on and off nights for an item, so the app can show a comparison on day one without a test.</t>
  </si>
  <si>
    <t>Evidence grades A, B, C, D, N</t>
  </si>
  <si>
    <t>It raises a molecule called NAD in the blood. No human trial has shown that this changes any health outcome you'd notice. The living-longer data is from mice.</t>
  </si>
  <si>
    <t>Proper controlled trial</t>
  </si>
  <si>
    <t>People are randomly given the real thing or a fake, and ideally nobody knows which until the end. The strongest kind of evidence.</t>
  </si>
  <si>
    <t>Tier 3 (untestable). Annual cost shown.</t>
  </si>
  <si>
    <t>Studies that watch people rather than test them</t>
  </si>
  <si>
    <t>Following a group over time and noticing patterns. Useful, but can't prove cause.</t>
  </si>
  <si>
    <t>No flip. Cost shown.</t>
  </si>
  <si>
    <t>This raises a blood marker; nobody has shown it changes anything you'd notice. We can't test a longevity claim on you, and neither can anyone else. $840 a year, and it's your bet to make.</t>
  </si>
  <si>
    <t>Paid for by the seller</t>
  </si>
  <si>
    <t>The company that sells the product funded the study. Not automatically wrong, but worth knowing.</t>
  </si>
  <si>
    <t>No human outcome trials. Look for: Yoshino 2021 (NMN, no clinical outcome change).</t>
  </si>
  <si>
    <t>Dose too low / Form not absorbed / No way it could work / Duplicate</t>
  </si>
  <si>
    <t>resveratrol</t>
  </si>
  <si>
    <t>The four day-one-drop reasons besides 'tested, found nothing'.</t>
  </si>
  <si>
    <t>Resveratrol</t>
  </si>
  <si>
    <t>Anything from a clinician, a blood test, a prescription, a hormone, or for a diagnosed condition. Left completely alone.</t>
  </si>
  <si>
    <t>250–500 mg</t>
  </si>
  <si>
    <t>Wellness versus health</t>
  </si>
  <si>
    <t>longevity, heart</t>
  </si>
  <si>
    <t>Wellness = sleep, recovery, energy, habits; goals the person sets, data the person owns. Health = diagnosing, treating, preventing conditions. We only ever do the first one.</t>
  </si>
  <si>
    <t>Poorly absorbed, and human trials found no benefit for the heart or for blood sugar.</t>
  </si>
  <si>
    <t>The human trials came back flat, and it barely absorbs anyway. This one can go.</t>
  </si>
  <si>
    <t>Human trials found no heart or blood-sugar benefit. Look for: Cochrane review on resveratrol for cardiovascular outcomes; Berman 2017.</t>
  </si>
  <si>
    <t>lion-s-mane</t>
  </si>
  <si>
    <t>Lion's mane</t>
  </si>
  <si>
    <t>focus, memory</t>
  </si>
  <si>
    <t>One small trial in older adults with early memory problems. Nothing in healthy adults.</t>
  </si>
  <si>
    <t>Tier 3 with focus rating.</t>
  </si>
  <si>
    <t>The evidence is one small study in a very different group. A daily focus rating for a month is a fairer test than that study.</t>
  </si>
  <si>
    <t>rhodiola</t>
  </si>
  <si>
    <t>Rhodiola</t>
  </si>
  <si>
    <t>200–400 mg</t>
  </si>
  <si>
    <t>fatigue, stress</t>
  </si>
  <si>
    <t>Weak trials, slow.</t>
  </si>
  <si>
    <t>Some trials for tiredness, but they aren't well run.</t>
  </si>
  <si>
    <t>Tier 3 with energy rating.</t>
  </si>
  <si>
    <t>dose under 200 mg a day → Tier 2 (dose too low). Otherwise Tier 3 with energy rating.</t>
  </si>
  <si>
    <t>Can't see it in the ring. An energy rating over a few weeks can.</t>
  </si>
  <si>
    <t>ginkgo-biloba</t>
  </si>
  <si>
    <t>Ginkgo biloba</t>
  </si>
  <si>
    <t>memory, focus</t>
  </si>
  <si>
    <t>Large trials in healthy adults, and trials trying to prevent memory loss, found nothing.</t>
  </si>
  <si>
    <t>Blood thinners: interaction.</t>
  </si>
  <si>
    <t>This was tested properly, at scale, and it didn't do anything for memory. One of the clearest 'no' answers in the whole supplement aisle.</t>
  </si>
  <si>
    <t>Large trials found nothing. Look for: GEM study (DeKosky 2008, JAMA); Laws 2012 meta-analysis in healthy adults.</t>
  </si>
  <si>
    <t>saffron</t>
  </si>
  <si>
    <t>Saffron</t>
  </si>
  <si>
    <t>30 mg</t>
  </si>
  <si>
    <t>mood</t>
  </si>
  <si>
    <t>≥30 mg</t>
  </si>
  <si>
    <t>Small trials have found, fairly consistently, that it helps with low mood, in some cases about as much as a low dose of antidepressant.</t>
  </si>
  <si>
    <t>Tier 3 with mood rating. Diagnosed depression: Protected.</t>
  </si>
  <si>
    <t>dose under 30 mg a day → Tier 2 (dose too low). Otherwise Tier 3 with mood rating.</t>
  </si>
  <si>
    <t>Better evidence than its price tag suggests. We can't see mood in your sleep data, so a daily mood tap is the test.</t>
  </si>
  <si>
    <t>Mood trials. Look for: Lopresti 2014 review.</t>
  </si>
  <si>
    <t>phosphatidylserine</t>
  </si>
  <si>
    <t>Phosphatidylserine</t>
  </si>
  <si>
    <t>100–300 mg</t>
  </si>
  <si>
    <t>stress, cortisol, memory</t>
  </si>
  <si>
    <t>Old, mixed, small.</t>
  </si>
  <si>
    <t>A few small, old trials with mixed results.</t>
  </si>
  <si>
    <t>Tier 3.</t>
  </si>
  <si>
    <t>Thin evidence, and we can't see it. Your call on whether $30 a month is worth the maybe.</t>
  </si>
  <si>
    <t>zinc-daily</t>
  </si>
  <si>
    <t>Zinc (daily)</t>
  </si>
  <si>
    <t>15–50 mg</t>
  </si>
  <si>
    <t>immunity, testosterone, skin</t>
  </si>
  <si>
    <t>Zinc lozenges taken at the first sign of a cold shorten it slightly. Taking zinc every day when you're not low in it does nothing, and more than 40 mg a day drains your copper.</t>
  </si>
  <si>
    <t>Daily use with no deficiency: Tier 2. Lozenges at cold onset: Tier 3 keep.</t>
  </si>
  <si>
    <t>mg; daily · lozenges when ill</t>
  </si>
  <si>
    <t>dose over 40 mg a day → safety note (copper). Daily use with no deficiency → Tier 2 (tested, found nothing). Lozenges only at cold onset → Tier 3 keep.</t>
  </si>
  <si>
    <t>Over 40 mg a day long term causes copper deficiency.</t>
  </si>
  <si>
    <t>Daily zinc without a deficiency doesn't do the things it's sold for, and too much of it causes its own problem. Keep lozenges for the first day of a cold; drop the daily.</t>
  </si>
  <si>
    <t>Copper depletion above 40 mg/day; daily zinc no benefit without deficiency. Look for: NIH ODS zinc fact sheet (tolerable upper limit 40 mg).</t>
  </si>
  <si>
    <t>Tone Guide: how a verdict is allowed to sound</t>
  </si>
  <si>
    <t>vitamin-c-daily</t>
  </si>
  <si>
    <t>Vitamin C (daily)</t>
  </si>
  <si>
    <t>Every rule here is backed by a finding on the Emotional Positioning sheet. If a rule and a sentence disagree, the sentence changes.</t>
  </si>
  <si>
    <t>Name the effort before the number</t>
  </si>
  <si>
    <t>'Eight months, every night' comes before the verdict. The verdict is about the item, never about their discipline.</t>
  </si>
  <si>
    <t>The source is context, not a punchline</t>
  </si>
  <si>
    <t>'Started from a reel' is said once, in the past tense, and the sentence moves on. Never 'you fell for'.</t>
  </si>
  <si>
    <t>It doesn't stop you catching colds. It makes them about 8 percent shorter. Cheap and harmless.</t>
  </si>
  <si>
    <t>Tier 3, no push.</t>
  </si>
  <si>
    <t>Tier 3 is never 'drop'</t>
  </si>
  <si>
    <t>'We can't see it, here's the cost, here's the evidence, your call.' Several Tier 3 verdicts say keep.</t>
  </si>
  <si>
    <t>Tier 2 is about the dose or the study, never the person</t>
  </si>
  <si>
    <t>Doesn't prevent colds, shortens them by about half a day. It's $8. Not worth an experiment or a fuss either way.</t>
  </si>
  <si>
    <t>'The amount is the problem, not you.' They acted sensibly on what they knew. Say so when it's true.</t>
  </si>
  <si>
    <t>8% figure. Look for: Hemilä 2013, Cochrane.</t>
  </si>
  <si>
    <t>Show the number, never the word 'wasted'</t>
  </si>
  <si>
    <t>Money appears as a plain figure and a plain 'back'.</t>
  </si>
  <si>
    <t>elderberry</t>
  </si>
  <si>
    <t>Elderberry</t>
  </si>
  <si>
    <t>Free and enjoyed means keep</t>
  </si>
  <si>
    <t>If it costs nothing, does no harm, and they like it, the verdict says keep, whatever the number.</t>
  </si>
  <si>
    <t>syrup or gummies</t>
  </si>
  <si>
    <t>Protected gets one sentence and no opinion</t>
  </si>
  <si>
    <t>Acknowledged and left alone. No evidence summary, no cost framing, no nudge.</t>
  </si>
  <si>
    <t>Safety notes are short, plain, and point to a person</t>
  </si>
  <si>
    <t>'Ask a clinician.' One sentence, no alarm, then stop.</t>
  </si>
  <si>
    <t>Inconclusive gets its own respect</t>
  </si>
  <si>
    <t>'Your body didn't show a change we could detect at this dose. That's a real answer.'</t>
  </si>
  <si>
    <t>Small trials suggested shorter colds. The biggest and best-run trial found nothing.</t>
  </si>
  <si>
    <t>Too-small-to-see gets told up front</t>
  </si>
  <si>
    <t>When the likely effect is under the gate, say so on day one, and let them run it anyway if they want. Never set up a test that's built to fail and then call the result inconclusive.</t>
  </si>
  <si>
    <t>Report what happened, not what they are</t>
  </si>
  <si>
    <t>Evidence is small and the best trial was flat. Can't measure it either way.</t>
  </si>
  <si>
    <t>'Your HRV was 18 points lower after the drinks' is about the night. 'Your recovery is poor' is about the person. Always the first kind.</t>
  </si>
  <si>
    <t>Largest trial null. Look for: Macknin 2020.</t>
  </si>
  <si>
    <t>Every off-plan night gets a normal next morning</t>
  </si>
  <si>
    <t>probiotic-generic-daily</t>
  </si>
  <si>
    <t>No red, no 'strain' warnings, no 'you should'. The number is shown, the cause is named, the day moves on.</t>
  </si>
  <si>
    <t>Probiotic (generic daily)</t>
  </si>
  <si>
    <t>Their choice is the point, not the problem</t>
  </si>
  <si>
    <t>Every verdict ends with the decision in their hands. No 'should', 'need to', or 'must'.</t>
  </si>
  <si>
    <t>daily capsule</t>
  </si>
  <si>
    <t>No exclamation marks, no 'great news'</t>
  </si>
  <si>
    <t>gut, immunity, mood</t>
  </si>
  <si>
    <t>Plain sentences. A calm friend who happens to have read the studies.</t>
  </si>
  <si>
    <t>Second person, active voice, under 60 words</t>
  </si>
  <si>
    <t>Addressed to 'you', says what happened, stops. (Gated verdicts are allowed up to 60 because they carry an extra promise.)</t>
  </si>
  <si>
    <t>Never a health claim</t>
  </si>
  <si>
    <t>We describe what a habit did to a number, or what studies found about a habit. Never what a substance does to a condition. Never 'fix', 'cure', 'treat', 'prevent'.</t>
  </si>
  <si>
    <t>Emotional positioning: what the psychology research says, and what we do about it</t>
  </si>
  <si>
    <t>strain-specific</t>
  </si>
  <si>
    <t>Words we never use</t>
  </si>
  <si>
    <t>Full sources in Emotional-Positioning-Research.md next to this file.</t>
  </si>
  <si>
    <t>Whether a probiotic helps depends on the exact strain and the exact problem. A generic daily capsule for a healthy gut has little evidence behind it.</t>
  </si>
  <si>
    <t>The problem, stated plainly</t>
  </si>
  <si>
    <t>wasted, useless, scam, fell for, should have known, hack, optimise, biohack, guilty, cheat day, toxins, detox (except to say something isn't one), fix, cure, treat, prevent, boost, supercharge, should, need to, must, poor recovery, bad night, strain warning, penalty</t>
  </si>
  <si>
    <t>Tier 3 with gut rating.</t>
  </si>
  <si>
    <t>named strain · generic blend · not sure</t>
  </si>
  <si>
    <t>form = named strain for a named problem (e.g. Lactobacillus rhamnosus GG for antibiotic diarrhoea) → Tier 3 keep. form = generic blend or 'not sure' → Tier 3 with gut rating.</t>
  </si>
  <si>
    <t>Every wearable app today is built on the same assumption: show people a bad number and they'll behave better. The research says the opposite happens more often than not. A bad number that points at the person makes them feel judged, and people who feel judged argue with the app, hide from it, or do the thing more. The ring goes in the drawer. That gap is psychological, not technical, and it's the positioning.</t>
  </si>
  <si>
    <t>Probiotics are specific tools for specific problems. A generic daily one for general gut health has less behind it than the shelf suggests. A gut rating over a month is the honest test.</t>
  </si>
  <si>
    <t>Words we do use</t>
  </si>
  <si>
    <t>your call, yours, back (as in '$22 a month back'), kept, dropped, inconclusive, a real answer, we can't see it, what the studies found, your normal swing, your number, the night, the day, worth it, knowing that going in</t>
  </si>
  <si>
    <t>Six findings, and what each one changes in the product</t>
  </si>
  <si>
    <t>1. Feedback that points at the self makes performance worse</t>
  </si>
  <si>
    <t>Kluger and DeNisi (1996) pooled 607 studies and found over a third of feedback made people perform worse. Feedback aimed at the person ('your recovery is poor') hurts; feedback kept on the task ('sleep was 41 minutes shorter on those nights') helps. WHAT WE DO: every verdict is about the night and the habit, never the person. No score that describes you.</t>
  </si>
  <si>
    <t>2. One slip plus guilt leads to a bigger slip</t>
  </si>
  <si>
    <t>The 'what-the-hell effect' (Polivy and Herman): once someone feels they've blown it, they abandon the whole plan. In drinkers, the guiltiest about last night drank MORE the next night (UCL, 2025). WHAT WE DO: the morning after an off-plan night is a normal morning. The number is shown, the cause named without comment, nothing is red, the experiment continues.</t>
  </si>
  <si>
    <t>3. Being told what to do makes ambivalent people argue back</t>
  </si>
  <si>
    <t>Motivational interviewing's 'righting reflex': push one side and the person defends the other. Directive styles produce more drop-out. Health-app experiments find controlling language raises resistance and choice lowers it. WHAT WE DO: no 'should', ever. Every verdict ends with the decision in their hands. That now includes the gated rows: 'run it anyway' is offered, not withheld.</t>
  </si>
  <si>
    <t>4. Self-compassion predicts healthier behaviour, not laziness</t>
  </si>
  <si>
    <t>psyllium-fibre</t>
  </si>
  <si>
    <t>Psyllium / fibre</t>
  </si>
  <si>
    <t>Sirois, Kitner and Hirsch (2015), 15 samples, 3,252 people: people kinder to themselves after failing do MORE healthy things, because they aren't spending energy on shame. WHAT WE DO: lapses are expected. Missed taps are unknown, never failed. A reset protocol for bad weeks.</t>
  </si>
  <si>
    <t>5. Praise the process, not the person, and the same for criticism</t>
  </si>
  <si>
    <t>Dweck: 'you worked hard' builds persistence, 'you're smart' makes people fragile. WHAT WE DO: 'Eight months, every night' comes before every verdict.</t>
  </si>
  <si>
    <t>6. The tracker itself can become the problem</t>
  </si>
  <si>
    <t>gut, cholesterol</t>
  </si>
  <si>
    <t>Baron et al. (2017) named orthosomnia: people at sleep clinics with normal sleep and real anxiety from chasing a score. Epstein's work found apps punish lapses instead of designing for them. WHAT WE DO: no daily score, no dashboard, one line a day, verdicts every two weeks, an option to hide the wearable's own score.</t>
  </si>
  <si>
    <t>The morning after drinks: side by side</t>
  </si>
  <si>
    <t>What they get now</t>
  </si>
  <si>
    <t>A red recovery of 31%. A strain warning. 'Alcohol had a significant negative impact.' A suggestion to take it easy. The person feels flamed for a nice evening, and has learned nothing they didn't know.</t>
  </si>
  <si>
    <t>Well supported for regularity and LDL.</t>
  </si>
  <si>
    <t>What we show, if alcohol is the current experiment</t>
  </si>
  <si>
    <t>Tier 3 keep.</t>
  </si>
  <si>
    <t>'Last night: two drinks. Your HRV came in 19 points under your usual, and you were awake 34 minutes more than normal. That's one drinking night logged. Twelve to go.' Nothing else. No colour. (This is an observe-only item: the app never assigned that night. It recognised the pattern and asked them to confirm.)</t>
  </si>
  <si>
    <t>What we show, if it isn't the current experiment</t>
  </si>
  <si>
    <t>Not exciting, and very well proven. Keep.</t>
  </si>
  <si>
    <t>Nothing about it. If the night looks unusual, one optional tap: 'Anything different last night?' so it can be kept out of the running test.</t>
  </si>
  <si>
    <t>What the verdict says two weeks later</t>
  </si>
  <si>
    <t>digestive-enzymes</t>
  </si>
  <si>
    <t>'Alcohol: HRV was 17 points lower and you slept 38 minutes less on drinking nights, against your normal swing of 9 points and 30 minutes. That's the size of it. Now you know what a Tuesday drink costs and what a Saturday one is worth. Yours to spend.'</t>
  </si>
  <si>
    <t>Digestive enzymes</t>
  </si>
  <si>
    <t>Why this is positioning, not just copy</t>
  </si>
  <si>
    <t>Every other product casts itself as the coach and the user as the one being corrected. This one casts the user as the person deciding and itself as the friend who checked the numbers. 'Editing, not deprivation' is the brand, and the morning-after screen is where it's proven.</t>
  </si>
  <si>
    <t>Eight rules for every screen</t>
  </si>
  <si>
    <t>with meals</t>
  </si>
  <si>
    <t>bloating, digestion</t>
  </si>
  <si>
    <t>Describe the night, not the person</t>
  </si>
  <si>
    <t>Numbers about what happened. Never a score about who they are.</t>
  </si>
  <si>
    <t>Nothing is ever red</t>
  </si>
  <si>
    <t>Kept, dropped and inconclusive are words in the same type.</t>
  </si>
  <si>
    <t>Name the cause, skip the comment</t>
  </si>
  <si>
    <t>'Two drinks' is a fact. 'Alcohol had a significant negative impact' is a lecture.</t>
  </si>
  <si>
    <t>Effort first, then verdict</t>
  </si>
  <si>
    <t>Consistency is acknowledged before any result.</t>
  </si>
  <si>
    <t>No benefit unless a doctor has found you're missing a specific enzyme. The exception is lactase, if dairy upsets your stomach.</t>
  </si>
  <si>
    <t>Lactase for lactose intolerance: Tier 3 keep. Otherwise Tier 3 with 'thin evidence' and gut rating.</t>
  </si>
  <si>
    <t>Choice at the end of every sentence</t>
  </si>
  <si>
    <t>'Your call', 'yours', 'worth it to you'. Never 'should'.</t>
  </si>
  <si>
    <t>A lapse is a data point, not a failure</t>
  </si>
  <si>
    <t>Unless it's lactase and you're lactose intolerant, there isn't much behind these. A gut rating on and off is a fair test.</t>
  </si>
  <si>
    <t>Off-plan nights are 'unknown' or 'different', never 'missed' or 'failed'.</t>
  </si>
  <si>
    <t>Verdicts on a fortnight, not a morning</t>
  </si>
  <si>
    <t>Daily feedback breeds score-chasing. Two-week verdicts breed knowledge.</t>
  </si>
  <si>
    <t>apple-cider-vinegar</t>
  </si>
  <si>
    <t>Apple cider vinegar</t>
  </si>
  <si>
    <t>The scoreboard goes down</t>
  </si>
  <si>
    <t>Count and cost falling is the only progress shown.</t>
  </si>
  <si>
    <t>1–2 tbsp daily</t>
  </si>
  <si>
    <t>weight, glucose, digestion</t>
  </si>
  <si>
    <t>One small trial on weight, and a small effect on blood sugar after meals. It wears away tooth enamel.</t>
  </si>
  <si>
    <t>Goal weight: Tier 2. Goal glucose: Tier 3 (CGM only).</t>
  </si>
  <si>
    <t>Dilute it; it damages enamel.</t>
  </si>
  <si>
    <t>For weight, the evidence is one small trial. For your teeth, the evidence is clear. This can go.</t>
  </si>
  <si>
    <t>Weight trial size and enamel erosion. Look for: Khezri 2018 (n=39); dental erosion case reports.</t>
  </si>
  <si>
    <t>berberine</t>
  </si>
  <si>
    <t>Berberine</t>
  </si>
  <si>
    <t>500 mg, 2–3 times daily</t>
  </si>
  <si>
    <t>glucose, weight</t>
  </si>
  <si>
    <t>≥1 g/day</t>
  </si>
  <si>
    <t>Lowers blood sugar in people whose blood sugar is high. Calling it 'natural Ozempic' oversells it a lot. It interacts with many medications.</t>
  </si>
  <si>
    <t>Diabetes / prediabetes / on medication: Protected. Otherwise Tier 3.</t>
  </si>
  <si>
    <t>mg per dose, doses a day</t>
  </si>
  <si>
    <t>dose under 1 g a day → Tier 2 (dose too low). Any medication, diabetes, or prediabetes → Protected.</t>
  </si>
  <si>
    <t>Interacts with metformin, statins, blood thinners and more. Ask a clinician.</t>
  </si>
  <si>
    <t>This does something real, which is exactly why it isn't an app decision. If you're on any medication, please run it past whoever prescribes them.</t>
  </si>
  <si>
    <t>Interaction list. Look for: NIH / LiverTox; CYP interactions.</t>
  </si>
  <si>
    <t>green-tea-extract-egcg</t>
  </si>
  <si>
    <t>Green tea extract (EGCG)</t>
  </si>
  <si>
    <t>capsule</t>
  </si>
  <si>
    <t>fat loss, antioxidant</t>
  </si>
  <si>
    <t>A tiny effect on weight. Concentrated extracts have caused liver damage at high doses.</t>
  </si>
  <si>
    <t>Tier 2 with safety note.</t>
  </si>
  <si>
    <t>Concentrated extracts have caused liver injury. Tea is fine; capsules are not risk-free.</t>
  </si>
  <si>
    <t>The weight effect is close to zero and the liver risk isn't. Drink the tea instead.</t>
  </si>
  <si>
    <t>Weight effect and liver injury reports. Look for: Cochrane review (Jurgens 2012); Hu 2018 hepatotoxicity review.</t>
  </si>
  <si>
    <t>fat-burner-thermogenic</t>
  </si>
  <si>
    <t>Fat burner / thermogenic</t>
  </si>
  <si>
    <t>worse</t>
  </si>
  <si>
    <t>Resting heart rate up about 3 bpm from the stimulants. A test would show the cost, not a benefit.</t>
  </si>
  <si>
    <t>Mostly caffeine and other stimulants. They don't burn fat in any amount you'd notice, and they do raise your heart rate and disturb your sleep.</t>
  </si>
  <si>
    <t>Tier 2 (tested, found nothing) with safety note. Optional Tier 1 to show the resting heart rate/sleep cost.</t>
  </si>
  <si>
    <t>Stimulant blends raise heart rate and blood pressure.</t>
  </si>
  <si>
    <t>These don't burn fat in any amount you'd notice, and they do raise your resting heart rate. We can show you that number if you want, but the verdict is already in.</t>
  </si>
  <si>
    <t>No fat loss beyond caffeine; heart rate and blood pressure effects. Look for: Jeukendrup &amp; Randell 2011 review.</t>
  </si>
  <si>
    <t>testosterone-booster-tribulus-fenugreek-d-aa</t>
  </si>
  <si>
    <t>Testosterone booster (tribulus, fenugreek, D-AA)</t>
  </si>
  <si>
    <t>testosterone, energy, libido</t>
  </si>
  <si>
    <t>Tribulus and D-aspartic acid have been tested and found not to raise testosterone. Fenugreek has a tiny effect on sex drive and none on testosterone.</t>
  </si>
  <si>
    <t>Tier 2. Diagnosed low T: Protected.</t>
  </si>
  <si>
    <t>Tested, repeatedly, and they don't raise testosterone. If you're worried about your levels, that's a blood test and a doctor, not a bottle.</t>
  </si>
  <si>
    <t>Null results for tribulus and D-AA. Look for: Qureshi 2014 tribulus review; Willoughby &amp; Leutholtz 2013 D-AA trial.</t>
  </si>
  <si>
    <t>tongkat-ali</t>
  </si>
  <si>
    <t>Tongkat ali</t>
  </si>
  <si>
    <t>testosterone, energy</t>
  </si>
  <si>
    <t>A few small trials with modest results. Nobody outside the original team has repeated them.</t>
  </si>
  <si>
    <t>Thin, not nothing. We can't see it, so this one is a judgement call with the price in front of you.</t>
  </si>
  <si>
    <t>maca</t>
  </si>
  <si>
    <t>Maca</t>
  </si>
  <si>
    <t>1.5–3 g</t>
  </si>
  <si>
    <t>libido, energy</t>
  </si>
  <si>
    <t>Small trials suggest a little help with sex drive. No change in hormones.</t>
  </si>
  <si>
    <t>Small evidence for libido, none for hormones. A rating is the only way to know.</t>
  </si>
  <si>
    <t>dhea-pregnenolone</t>
  </si>
  <si>
    <t>DHEA / pregnenolone</t>
  </si>
  <si>
    <t>25–50 mg</t>
  </si>
  <si>
    <t>hormones, energy</t>
  </si>
  <si>
    <t>These are hormones. They're not something to experiment with on your own.</t>
  </si>
  <si>
    <t>Always Protected.</t>
  </si>
  <si>
    <t>Hormone precursors: prescriber only.</t>
  </si>
  <si>
    <t>This is a hormone. We don't route hormones, and we'd gently suggest a doctor does.</t>
  </si>
  <si>
    <t>taurine</t>
  </si>
  <si>
    <t>Taurine</t>
  </si>
  <si>
    <t>1–3 g</t>
  </si>
  <si>
    <t>energy, longevity</t>
  </si>
  <si>
    <t>The longevity claim is from a 2023 mouse study. Human outcome data doesn't exist.</t>
  </si>
  <si>
    <t>The headline study was in mice. There's nothing to see in your data and nothing yet in humans. At $12 it isn't costing you much, but it isn't doing much either.</t>
  </si>
  <si>
    <t>activated-charcoal</t>
  </si>
  <si>
    <t>Activated charcoal</t>
  </si>
  <si>
    <t>capsules</t>
  </si>
  <si>
    <t>detox, bloating</t>
  </si>
  <si>
    <t>There's no 'detox' for it to do. It soaks up whatever is in your gut, including your medications and vitamins.</t>
  </si>
  <si>
    <t>Binds medications, including the pill. Don't take near any medication.</t>
  </si>
  <si>
    <t>There's nothing for it to detox, and it will absorb your medications and vitamins along with everything else. This one can go.</t>
  </si>
  <si>
    <t>No detox mechanism; binds medications. Look for: any toxicology text; NHS / FDA guidance on charcoal and drug absorption.</t>
  </si>
  <si>
    <t>sea-moss</t>
  </si>
  <si>
    <t>Sea moss</t>
  </si>
  <si>
    <t>gel or capsule</t>
  </si>
  <si>
    <t>immunity, thyroid, skin</t>
  </si>
  <si>
    <t>No human trials. The amount of iodine in it varies wildly and can be far too much.</t>
  </si>
  <si>
    <t>Iodine excess can disturb thyroid function.</t>
  </si>
  <si>
    <t>No trials, unpredictable iodine, and the claims come from social media. Yours to keep, but we'd rather you knew.</t>
  </si>
  <si>
    <t>The follow-up questions onboarding asks, and which rows fire each one</t>
  </si>
  <si>
    <t>No human trials; iodine variability. Look for: iodine content analyses of seaweed products; NIH iodine upper limit.</t>
  </si>
  <si>
    <t>shilajit</t>
  </si>
  <si>
    <t>Shilajit</t>
  </si>
  <si>
    <t>Only rows that name a question get asked it. Most people see four to eight follow-ups in total, all chips, under a minute.</t>
  </si>
  <si>
    <t>capsule or resin</t>
  </si>
  <si>
    <t>energy, testosterone</t>
  </si>
  <si>
    <t>Question type</t>
  </si>
  <si>
    <t>One small trial paid for by the seller. Raw shilajit has repeatedly been found to contain lead and arsenic.</t>
  </si>
  <si>
    <t>Wording the person sees</t>
  </si>
  <si>
    <t>Tier 3 with safety note.</t>
  </si>
  <si>
    <t>How it's answered</t>
  </si>
  <si>
    <t>Rows that fire it</t>
  </si>
  <si>
    <t>Buy only tested products; raw shilajit has contained lead and arsenic.</t>
  </si>
  <si>
    <t>Can't see it, thin evidence, and the safety note matters more than the verdict.</t>
  </si>
  <si>
    <t>Which rows</t>
  </si>
  <si>
    <t>chlorophyll-water</t>
  </si>
  <si>
    <t>Chlorophyll water</t>
  </si>
  <si>
    <t>Form chips specific to the item, plus a number box with the unit prefilled. The label on the bottle answers both; we say so.</t>
  </si>
  <si>
    <t>skin, detox, odour</t>
  </si>
  <si>
    <t>Magnesium (any form), Magnesium L-threonate, Melatonin, L-theanine, Glycine, Ashwagandha (KSM-66 / Sensoril), Valerian, Tart cherry juice / extract, CBD, 5-HTP, Lavender oil, oral (Silexan), Sleep gummies (blend), Vitamin D3, Omega-3 fish oil, Krill oil, Creatine monohydrate, Beta-alanine, Collagen peptides, Hyaluronic acid (oral), Turmeric / curcumin, Glucosamine / chondroitin, Rhodiola, Saffron, Zinc (daily), Probiotic (generic daily), Berberine</t>
  </si>
  <si>
    <t>0 · 1 to 3 · 4 to 7 · 8 or more. For memberships, the app can prefill this from calendar or check-in data where connected.</t>
  </si>
  <si>
    <t>Electrolytes (LMNT etc.), Second (or third) coffee, Fluids after 8pm, Screens / phone in bed, Sauna / bathhouse membership, Cryotherapy sessions, Massage (monthly), Facials (monthly), Acupuncture, Chiropractor (maintenance visits), Personal trainer, Gym membership, Yoga / pilates studio, Float tank, Stretch studio (assisted stretching)</t>
  </si>
  <si>
    <t>clock time</t>
  </si>
  <si>
    <t>TikTok origin. No trials.</t>
  </si>
  <si>
    <t>What time, usually?</t>
  </si>
  <si>
    <t>Before noon · 12 to 2pm · 2 to 5pm · after 5pm (item-specific variants below). For workouts this is read from the wearable and not asked.</t>
  </si>
  <si>
    <t>Coffee after 2pm, Energy drinks, Matcha / green tea in the afternoon, Late dinner (within 2–3 h of bed), Nicotine pouches / vape, Training after 7pm, HIIT in the evening, Cold plunge / ice bath, Sauna (post-workout or evening), Afternoon nap (after 3pm or over 30 min), Bedroom temperature (thermostat)</t>
  </si>
  <si>
    <t>There are no studies of this at all. The claims came from social media, and there's nothing here for us to test. Yours to keep, but we'd rather you knew.</t>
  </si>
  <si>
    <t>No human trials for the skin / detox claims.</t>
  </si>
  <si>
    <t>colostrum</t>
  </si>
  <si>
    <t>Colostrum</t>
  </si>
  <si>
    <t>THC / cannabis for sleep, Alcohol in the evening</t>
  </si>
  <si>
    <t>last used</t>
  </si>
  <si>
    <t>When did you last use it?</t>
  </si>
  <si>
    <t>This week · this month · 1 to 3 months ago · longer · can't remember. 'Can't remember' is treated as 'longer'.</t>
  </si>
  <si>
    <t>gut, immunity</t>
  </si>
  <si>
    <t>Meditation app (Calm, Headspace), Weighted blanket, Mouth tape, Nasal strips / dilator, Blue-light blocking glasses, Eye mask, Earplugs, White noise / sound machine, Sleep headphones / sleep stories, Sunrise alarm (Hatch etc.), Light therapy box (10,000 lux), Red light therapy panel, Massage gun, Compression boots (Normatec), Air purifier (bedroom), Humidifier, Vibration plate, LED face mask, Cold plunge / ice bath tub (owned)</t>
  </si>
  <si>
    <t>Greens powder (AG1 etc.), Eight Sleep / cooling mattress pad, Continuous glucose monitor (no diabetes)</t>
  </si>
  <si>
    <t>Some evidence it helps endurance athletes with gut problems during hard training. The general wellness claims haven't been tested.</t>
  </si>
  <si>
    <t>Tier 3 with gut rating; annual cost shown.</t>
  </si>
  <si>
    <t>Apigenin, Chamomile tea, Sleep tea blend (valerian, passionflower, lemon balm), Kava, Passionflower, Lemon balm, ZMA, Vitamin B12, B-complex, Multivitamin, Flaxseed oil (as omega-3), Pre-workout, Vitamin C (daily), Mushroom coffee, Vitamin K2, Bone broth, Morning sunlight (10 min outdoors), Second wearable (Oura plus WHOOP), Blood panel subscription (Function etc.), Premium gym membership (Equinox, Life Time), Boutique class membership (Barry's, SoulCycle, F45, Orangetheory), Second gym or studio membership, Class pack or studio credits, Fitness app subscription (Peloton app, Apple Fitness+, Ladder), Recovery studio membership (Restore, Remedy Place, Othership), Sauna or cold-plunge studio when you own one at home, Massage membership (Massage Envy, Squeeze), Second meditation or sleep app, Annual physical with bloodwork, Electrolytes plus sports drink, Collagen drinks and beauty gummies, Retinol or retinoid plus exfoliating acid on the same nights, Two exfoliants (scrub plus acid, or two acids), Toner (hydrating or balancing), Multiple hydrating serums (two hyaluronic acid products), Eye cream (when you already use a moisturiser), Facial plus at-home LED plus microcurrent (all three), Microcurrent device (NuFace), Gua sha / ice roller</t>
  </si>
  <si>
    <t>Some evidence in endurance athletes, none for the general claims. $600 a year for a maybe. Your call.</t>
  </si>
  <si>
    <t>mushroom-coffee</t>
  </si>
  <si>
    <t>Mushroom coffee</t>
  </si>
  <si>
    <t>focus, energy, fewer jitters</t>
  </si>
  <si>
    <t>Time to fall asleep (as caffeine)</t>
  </si>
  <si>
    <t>Magnesium spray / oil (transdermal), GABA (oral), Iron, Protein powder, BCAAs, Glutamine, Biotin, CoQ10, NMN / NR, Resveratrol, Lion's mane, Ginkgo biloba, Phosphatidylserine, Elderberry, Psyllium / fibre, Digestive enzymes, Apple cider vinegar, Green tea extract (EGCG), Fat burner / thermogenic, Testosterone booster (tribulus, fenugreek, D-AA), Tongkat ali, Maca, DHEA / pregnenolone, Taurine, Activated charcoal, Sea moss, Shilajit, Chlorophyll water, Colostrum, Nootropic stack (alpha-GPC etc.), Inositol, Calcium, Evening primrose oil, Decaf swap after noon, Big carbohydrate dinner, Dessert / sugar before bed, Fasting window / skipping breakfast, Kombucha / probiotic drinks, Morning workout before 8am, 10,000 steps / daily walk, Zone 2 cardio (3+ h/week), Strength training, Stretching / yoga before bed, Cold shower (morning), Hot bath / shower 1–2 h before bed, Breathwork (box, 4-7-8, physiological sigh), NSDR / yoga nidra, Journaling / worry list before bed, Gratitude practice, Reading (paper) before bed, Work email after 9pm, TV in the bedroom, Consistent wake time (±30 min), Weekend sleep-in (over 1 h), Snoozing the alarm, Checking the sleep score every morning, Grounding / earthing (sheets, mats), Salt lamp, Bedroom plants (for air), EMF blockers / anti-radiation stickers, Hydrogen / alkaline water, Jaw exerciser, Water filter, Smart lights (warm, dim in the evening), IV vitamin drips, Physical therapy, Therapy / counselling, Nutritionist / dietitian, Hyperbaric oxygen (wellness use), Lymphatic drainage massage, Colonic / detox cleanse, Consumer DNA wellness test, Hormone / peptide clinic (TRT, GLP-1, peptides), Sleep coach (CBT-I), Retreat / wellness weekend, Blackout / light leak, Phone charging in the bedroom, Pet in the bed, Partner's snoring or schedule, Kids waking you, Window open / fan at night, Mattress age (over 8 years), Pillow, Silk pillowcase, Candles / incense in the bedroom, Bedroom used for work, Separate bedrooms some nights, Meal delivery or meal-prep service, Nutrition or calorie app (premium), Hair growth gummies (biotin blends), Sunscreen (daily SPF 30+), Retinol / retinoid (nightly), Vitamin C serum, Unlisted device you haven't used in 30 days, Unlisted subscription you're still paying for</t>
  </si>
  <si>
    <t>About a third of normal coffee's caffeine.</t>
  </si>
  <si>
    <t>Design rules for the questions</t>
  </si>
  <si>
    <t>Ask the question only when the answer can change the tier. A question whose answer changes nothing is a form field, and it gets cut.</t>
  </si>
  <si>
    <t>The mushroom part has no human evidence at these doses. It's coffee with less caffeine.</t>
  </si>
  <si>
    <t>Tier 3 for the mushroom claim. Tier 1 as caffeine timing if after 1pm.</t>
  </si>
  <si>
    <t>Chips, never typing, except the one number box for dose. Prefill from the label wording where possible ('the bottle says 400 mg: is that elemental or total?').</t>
  </si>
  <si>
    <t>Frequency and clock-time questions are prefilled from the wearable or a connected calendar wherever the data exists (workouts, naps, wake times, check-ins). Then the question becomes a confirmation, not a question.</t>
  </si>
  <si>
    <t>The mushrooms aren't doing anything we or anyone else can measure. The 'fewer jitters' is just less caffeine. A smaller cup of ordinary coffee gets you the same thing for a lot less.</t>
  </si>
  <si>
    <t>'Nights a week' for alcohol and nicotine is asked once, plainly, with no comment on the answer and nothing that follows from it except the experiment design.</t>
  </si>
  <si>
    <t>The overlap check never asks a question. It shows both items side by side, with visits or last-used and the cost, and asks which one they'd keep. The person picks. The app never picks for them.</t>
  </si>
  <si>
    <t>nootropic-stack-alpha-gpc-etc</t>
  </si>
  <si>
    <t>Nootropic stack (alpha-GPC etc.)</t>
  </si>
  <si>
    <t>focus</t>
  </si>
  <si>
    <t>Taken one ingredient at a time, the evidence is small. Nobody has tested the stacks as products.</t>
  </si>
  <si>
    <t>Tier 3 with focus rating. Contains caffeine after 1pm: Tier 1.</t>
  </si>
  <si>
    <t>A focus rating on and off is the only honest test. Two weeks, one tap a day.</t>
  </si>
  <si>
    <t>inositol</t>
  </si>
  <si>
    <t>Inositol</t>
  </si>
  <si>
    <t>2–4 g</t>
  </si>
  <si>
    <t>PCOS, mood, sleep</t>
  </si>
  <si>
    <t>Decent evidence for PCOS. That's a medical use.</t>
  </si>
  <si>
    <t>PCOS: Protected. Otherwise Tier 3.</t>
  </si>
  <si>
    <t>If this is for PCOS, it's between you and your clinician, and we stay out of it.</t>
  </si>
  <si>
    <t>vitamin-k2</t>
  </si>
  <si>
    <t>Vitamin K2</t>
  </si>
  <si>
    <t>100–200 mcg</t>
  </si>
  <si>
    <t>bone, heart</t>
  </si>
  <si>
    <t>Makes sense biologically. The trials that measured actual health outcomes are small and mixed.</t>
  </si>
  <si>
    <t>Warfarin: do not take without prescriber.</t>
  </si>
  <si>
    <t>Plausible, unproven, invisible to us. Keep it if the logic convinces you; the trials haven't settled it.</t>
  </si>
  <si>
    <t>calcium</t>
  </si>
  <si>
    <t>Calcium</t>
  </si>
  <si>
    <t>bone</t>
  </si>
  <si>
    <t>Useful if you don't get much from food. Taking more than you need may slightly raise heart risk.</t>
  </si>
  <si>
    <t>Doctor-sourced: Protected. Otherwise Tier 3 with 'food first'.</t>
  </si>
  <si>
    <t>Food first for this one. If a doctor asked you to take it, keep taking it.</t>
  </si>
  <si>
    <t>evening-primrose-oil</t>
  </si>
  <si>
    <t>Evening primrose oil</t>
  </si>
  <si>
    <t>1–2 g</t>
  </si>
  <si>
    <t>PMS, skin</t>
  </si>
  <si>
    <t>Careful reviews of all the trials found it works no better than a sugar pill for PMS or eczema.</t>
  </si>
  <si>
    <t>Reviewed properly and it didn't beat placebo. This can go.</t>
  </si>
  <si>
    <t>No better than placebo for PMS or eczema. Look for: Cochrane review (Bamford 2013) for eczema; Whelan 2009 for PMS.</t>
  </si>
  <si>
    <t>coffee-after-2pm</t>
  </si>
  <si>
    <t>do</t>
  </si>
  <si>
    <t>timing</t>
  </si>
  <si>
    <t>1 cup</t>
  </si>
  <si>
    <t>energy, focus</t>
  </si>
  <si>
    <t>In the classic trial, 400 mg of caffeine taken six hours before bed cut sleep by about 41 minutes, and people didn't notice. Caffeine takes 5 to 6 hours for half of it to clear, and that varies a lot from person to person.</t>
  </si>
  <si>
    <t>Tier 1. Best first experiment for most users.</t>
  </si>
  <si>
    <t>before noon · 12 to 2pm · 2 to 5pm · after 5pm. Prefilled from Oura or WHOOP caffeine tags where present.</t>
  </si>
  <si>
    <t>last coffee before noon → not a hypothesis; Tier 3 'not an issue for you'. 12 to 2pm → Tier 1 with a smaller expected effect (0.6, so gated to Tier 3 unless they choose to run it). After 2pm → Tier 1.</t>
  </si>
  <si>
    <t>The single most reliable experiment we run, and the one most people are wrong about in one direction or the other. Fourteen days and you'll have your own number.</t>
  </si>
  <si>
    <t>The 41-minute figure and 6-hour timing. Look for: Drake 2013, J Clin Sleep Med.</t>
  </si>
  <si>
    <t>second-or-third-coffee</t>
  </si>
  <si>
    <t>Total sleep; overnight HRV</t>
  </si>
  <si>
    <t>Total daily caffeine above about 400 mg is where sleep and HRV effects become consistent.</t>
  </si>
  <si>
    <t>Tier 1: on = usual, off = cap at one.</t>
  </si>
  <si>
    <t>cups a day: 1 · 2 · 3 · 4+</t>
  </si>
  <si>
    <t>cups a day = 1 → not a hypothesis. 2 → Tier 3 (effect too small). 3 or more → Tier 1 (expected effect 0.8).</t>
  </si>
  <si>
    <t>The second cup usually makes a smaller difference than the timing of the last one. That's about two fifths of one night's normal swing, so a two-week test would very likely come back inconclusive. We'll show you what the trials found and what it costs, and if you'd still like to run it, you can, knowing that going in.</t>
  </si>
  <si>
    <t>energy-drinks</t>
  </si>
  <si>
    <t>1 can</t>
  </si>
  <si>
    <t>Total sleep; resting heart rate</t>
  </si>
  <si>
    <t>Caffeine plus sugar. Same sleep cost as coffee with more effect on resting heart rate.</t>
  </si>
  <si>
    <t>before noon · 12 to 2pm · after 2pm</t>
  </si>
  <si>
    <t>after 2pm → Tier 1 (effect 1.0). Before 2pm → Tier 3 (effect too small). Observe-only either way.</t>
  </si>
  <si>
    <t>Unless you drink these late in the day, the effect on a single night is modest. That's about two thirds of one night's normal swing, so a two-week test would very likely come back inconclusive. We'll show you what the trials found and what it costs, and if you'd still like to run it, you can, knowing that going in.</t>
  </si>
  <si>
    <t>decaf-swap-after-noon</t>
  </si>
  <si>
    <t>better</t>
  </si>
  <si>
    <t>The inverse of the caffeine experiment. Keeps the ritual, drops the drug.</t>
  </si>
  <si>
    <t>Offered as the 'off' condition for the coffee experiment; not routed on its own.</t>
  </si>
  <si>
    <t>Keeps the cup, drops the caffeine. A clean test of whether it was ever the caffeine.</t>
  </si>
  <si>
    <t>matcha-green-tea-in-the-afternoon</t>
  </si>
  <si>
    <t>focus, calm</t>
  </si>
  <si>
    <t>Less caffeine than coffee, plus theanine. Still caffeine.</t>
  </si>
  <si>
    <t>Tier 1 if after 2pm.</t>
  </si>
  <si>
    <t>before 2pm · after 2pm</t>
  </si>
  <si>
    <t>after 2pm → Tier 3 (effect too small, can run anyway). Before → not a hypothesis.</t>
  </si>
  <si>
    <t>There's about a third as much caffeine here as in coffee. That's about two fifths of one night's normal swing, so a two-week test would very likely come back inconclusive. We'll show you what the trials found and what it costs, and if you'd still like to run it, you can, knowing that going in.</t>
  </si>
  <si>
    <t>alcohol-in-the-evening</t>
  </si>
  <si>
    <t>1–2 drinks</t>
  </si>
  <si>
    <t>relaxation, social</t>
  </si>
  <si>
    <t>Even one or two drinks lower overnight HRV (the recovery number) by 10 to 25 percent and raise resting heart rate by a few beats. You fall asleep faster and then sleep worse in the second half of the night. It shows up the same night on every wearable.</t>
  </si>
  <si>
    <t>Tier 1. Frame as 'what does a drink cost you', never as 'stop drinking'.</t>
  </si>
  <si>
    <t>0 · 1 to 2 · 3 to 4 · 5 or more</t>
  </si>
  <si>
    <t>0 → not in the inventory. 1 to 2 → Tier 1, observe-only, expected effect 1.5 but fewer on-nights, so the test runs over 3 to 4 weeks. 3 or more → Tier 1, observe-only, two weeks is enough.</t>
  </si>
  <si>
    <t>If drinking feels hard to change, that's a conversation for a person, not an app.</t>
  </si>
  <si>
    <t>We're not going to tell you not to drink. We're going to show you what one drink costs you the next morning, in your own numbers, and let you decide what it's worth on a Tuesday.</t>
  </si>
  <si>
    <t>HRV 10 to 25% and resting heart rate 3 to 5 bpm figures. Look for: WHOOP and Oura published member data; Pietilä 2018 (Firstbeat).</t>
  </si>
  <si>
    <t>late-dinner-within-2-3-h-of-bed</t>
  </si>
  <si>
    <t>sleep, digestion</t>
  </si>
  <si>
    <t>Time to fall asleep; time awake during the night; resting heart rate</t>
  </si>
  <si>
    <t>Eating close to bedtime raises your heart rate and body temperature overnight. The effect on sleep is modest and varies a lot between people.</t>
  </si>
  <si>
    <t>hours between dinner and bed: under 1.5 · 1.5 to 3 · over 3</t>
  </si>
  <si>
    <t>main meal within 90 min of bed → expected effect 0.8, Tier 1. 90 min to 3 h → Tier 3 (effect too small). Over 3 h → not a hypothesis.</t>
  </si>
  <si>
    <t>Overlap groups: sets of items that do the same job</t>
  </si>
  <si>
    <t>Eating late nudges your overnight heart rate up a little. That's about half of one night's normal swing, so a two-week test would very likely come back inconclusive. We'll show you what the trials found and what it costs, and if you'd still like to run it, you can, knowing that going in.</t>
  </si>
  <si>
    <t>Two or more from one group in the inventory fires the overlap check. Rule text is what the engine does; the person always chooses which to keep.</t>
  </si>
  <si>
    <t>big-carbohydrate-dinner</t>
  </si>
  <si>
    <t>Group</t>
  </si>
  <si>
    <t>Items in it</t>
  </si>
  <si>
    <t>Items</t>
  </si>
  <si>
    <t>better?</t>
  </si>
  <si>
    <t>What happens when two or more are present</t>
  </si>
  <si>
    <t>fitness memberships</t>
  </si>
  <si>
    <t>Gym membership, Premium gym membership (Equinox, Life Time), Boutique class membership (Barry's, SoulCycle, F45, Orangetheory), Yoga / pilates studio, Second gym or studio membership, Class pack or studio credits, Fitness app subscription (Peloton app, Apple Fitness+, Ladder)</t>
  </si>
  <si>
    <t>Two or more → show both with visits per month and cost per visit; the one used less becomes Tier 2 (overlaps with something else). A fitness app alongside a gym they attend is fine; alongside a gym they don't attend, both are flagged.</t>
  </si>
  <si>
    <t>In one small trial, a high-carb meal about 4 hours before bed helped people fall asleep faster. Sugar right before bed does the opposite.</t>
  </si>
  <si>
    <t>heat and cold</t>
  </si>
  <si>
    <t>Sauna / bathhouse membership, Cryotherapy sessions, Recovery studio membership (Restore, Remedy Place, Othership), Sauna or cold-plunge studio when you own one at home, Cold plunge / ice bath tub (owned), Sauna (post-workout or evening)</t>
  </si>
  <si>
    <t>One small trial found a few minutes' difference. That's about two fifths of one night's normal swing, so a two-week test would very likely come back inconclusive. We'll show you what the trials found and what it costs, and if you'd still like to run it, you can, knowing that going in.</t>
  </si>
  <si>
    <t>Owns a sauna or plunge AND pays for a studio that offers the same → the studio is Tier 2 (overlaps with something else). Two studios → the one used less.</t>
  </si>
  <si>
    <t>massage</t>
  </si>
  <si>
    <t>dessert-sugar-before-bed</t>
  </si>
  <si>
    <t>Massage (monthly), Massage membership (Massage Envy, Squeeze), Massage gun, Compression boots (Normatec)</t>
  </si>
  <si>
    <t>Membership plus separate massages → the membership's banked credits are checked first. Massage gun plus boots plus membership → verdict shows all three and their total; nothing is auto-dropped, since each feels different.</t>
  </si>
  <si>
    <t>meditation apps</t>
  </si>
  <si>
    <t>Meditation app (Calm, Headspace), Second meditation or sleep app</t>
  </si>
  <si>
    <t>Time awake during the night; deep sleep</t>
  </si>
  <si>
    <t>Two → Tier 2 (overlaps with something else) for the one opened less in the last 30 days.</t>
  </si>
  <si>
    <t>wearables</t>
  </si>
  <si>
    <t>Second wearable (Oura plus WHOOP)</t>
  </si>
  <si>
    <t>Two wearables → Tier 2 for the one they'd rather not wear.</t>
  </si>
  <si>
    <t>wake-up light</t>
  </si>
  <si>
    <t>Sunrise alarm (Hatch etc.), Light therapy box (10,000 lux), Morning sunlight (10 min outdoors)</t>
  </si>
  <si>
    <t>A light box plus a sunrise alarm plus morning sunlight → the two devices overlap with the free one; shown, not auto-dropped.</t>
  </si>
  <si>
    <t>Associated with lighter sleep in studies that watched people rather than tested them.</t>
  </si>
  <si>
    <t>Multivitamin, Greens powder (AG1 etc.), Vitamin B12, Vitamin D3, Zinc (daily), Vitamin C (daily), Vitamin K2, B-complex</t>
  </si>
  <si>
    <t>Multivitamin or greens powder PLUS a separate B12, D, zinc, C or K2 → the separates are Tier 2 (overlaps with something else) unless doctor-sourced (Protected) or the multi's dose is under the studied amount for that one.</t>
  </si>
  <si>
    <t>The studies here only watched people; nobody has run a proper test. That's about a third of one night's normal swing, so a two-week test would very likely come back inconclusive. We'll show you what the trials found and what it costs, and if you'd still like to run it, you can, knowing that going in.</t>
  </si>
  <si>
    <t>Omega-3 fish oil, Krill oil, Flaxseed oil (as omega-3)</t>
  </si>
  <si>
    <t>Two or more → keep the fish oil, the others are Tier 2 (overlaps with something else).</t>
  </si>
  <si>
    <t>fasting-window-skipping-breakfast</t>
  </si>
  <si>
    <t>Collagen peptides, Bone broth, Collagen drinks and beauty gummies</t>
  </si>
  <si>
    <t>Collagen powder plus bone broth or collagen drinks → the second is Tier 2 (overlaps with something else). Powder wins on dose.</t>
  </si>
  <si>
    <t>16:8</t>
  </si>
  <si>
    <t>weight, energy, focus</t>
  </si>
  <si>
    <t>Pre-workout, Coffee after 2pm, Second (or third) coffee, Energy drinks, Mushroom coffee, Matcha / green tea in the afternoon</t>
  </si>
  <si>
    <t>Pre-workout AND coffee within an hour of each other → verdict shows the combined caffeine; pre-workout becomes Tier 2 (overlaps with something else) since the coffee is the same drug for less.</t>
  </si>
  <si>
    <t>Melatonin, Sleep gummies (blend), Sleep tea blend (valerian, passionflower, lemon balm), Valerian, Chamomile tea, Magnesium (any form), L-theanine, Glycine, Apigenin, 5-HTP, Passionflower, Lemon balm, CBD, Kava, Lavender oil, oral (Silexan)</t>
  </si>
  <si>
    <t>Three or more sleep aids → shown together with the total cost and the line 'you take {n} things for sleep and your sleep hasn't changed since {month}'. Melatonin plus sleep gummies → the gummies are Tier 2 (overlaps with something else).</t>
  </si>
  <si>
    <t>Electrolytes (LMNT etc.), Electrolytes plus sports drink</t>
  </si>
  <si>
    <t>Both → the sports drink is Tier 2 (overlaps with something else).</t>
  </si>
  <si>
    <t>For weight, it works about as well as any other way of eating less. Its effects on sleep and HRV are small and vary between people. Your body takes about a week to adjust, so 3-day blocks are too short to test it fairly.</t>
  </si>
  <si>
    <t>Magnesium (any form), Magnesium L-threonate, ZMA</t>
  </si>
  <si>
    <t>Slow: long blocks only. v1: evidence line.</t>
  </si>
  <si>
    <t>Two or more magnesium products → keep one, the rest are Tier 2 (overlaps with something else).</t>
  </si>
  <si>
    <t>bloodwork</t>
  </si>
  <si>
    <t>Not for anyone with a history of disordered eating.</t>
  </si>
  <si>
    <t>Blood panel subscription (Function etc.), Annual physical with bloodwork</t>
  </si>
  <si>
    <t>This changes your body over a week, not a night, so we can't test it fairly in three-day blocks yet. What we can tell you: for weight it works about as well as any other way of eating less.</t>
  </si>
  <si>
    <t>Both → the subscription is Tier 2 (overlaps with something else) unless it tests something the physical doesn't (ferritin, vitamin D are usually the reasons to keep it).</t>
  </si>
  <si>
    <t>professional skin treatments</t>
  </si>
  <si>
    <t>fluids-after-8pm</t>
  </si>
  <si>
    <t>Facials (monthly), LED face mask, Microcurrent device (NuFace), Red light therapy panel, Facial plus at-home LED plus microcurrent (all three)</t>
  </si>
  <si>
    <t>Facials plus two or more at-home skin devices → the devices used least in 30 days are Tier 2 (not being used); if all used, shown together with total cost, pick one.</t>
  </si>
  <si>
    <t>exfoliants</t>
  </si>
  <si>
    <t>Retinol or retinoid plus exfoliating acid on the same nights, Two exfoliants (scrub plus acid, or two acids)</t>
  </si>
  <si>
    <t>Any two exfoliating steps in one routine → Tier 2 (overlaps with something else): alternate nights or drop one.</t>
  </si>
  <si>
    <t>hydrating layers</t>
  </si>
  <si>
    <t>Toner (hydrating or balancing), Multiple hydrating serums (two hyaluronic acid products), Eye cream (when you already use a moisturiser)</t>
  </si>
  <si>
    <t>Toner plus serum plus moisturiser all doing 'hydration' → the toner is Tier 2 (overlaps with something else); a second hyaluronic serum is Tier 2; eye cream is Tier 2 unless it has an ingredient the moisturiser lacks.</t>
  </si>
  <si>
    <t>at-home skin devices</t>
  </si>
  <si>
    <t>LED face mask, Microcurrent device (NuFace), Red light therapy panel, Gua sha / ice roller</t>
  </si>
  <si>
    <t>Two or more, each used less than weekly → Tier 2 (not being used) for the unused ones.</t>
  </si>
  <si>
    <t>Needing the bathroom is the most common reason people wake in the middle of the night. Cutting fluids after 8pm reduces it.</t>
  </si>
  <si>
    <t>bathroom wake-ups a week: 0 · 1 to 2 · 3+</t>
  </si>
  <si>
    <t>wakes for the bathroom most nights → expected effect 1.0, Tier 1. Rarely → Tier 3 (effect too small).</t>
  </si>
  <si>
    <t>If you don't wake up needing the bathroom, this one probably isn't costing you anything. That's about three fifths of one night's normal swing, so a two-week test would very likely come back inconclusive. We'll show you what the trials found and what it costs, and if you'd still like to run it, you can, knowing that going in.</t>
  </si>
  <si>
    <t>Nocturia as the top cause of waking. Look for: any urology review of nocturia prevalence.</t>
  </si>
  <si>
    <t>nicotine-pouches-vape</t>
  </si>
  <si>
    <t>several a day</t>
  </si>
  <si>
    <t>focus, stress</t>
  </si>
  <si>
    <t>Nicotine is a stimulant. It raises resting heart rate, lowers HRV (the recovery number), and breaks up sleep. Using it in the evening is the worst for sleep.</t>
  </si>
  <si>
    <t>Tier 1: test evening use only (on = as usual, off = none after 6pm). Never frame as a quit programme.</t>
  </si>
  <si>
    <t>daytime only · some after 6pm · mostly evening</t>
  </si>
  <si>
    <t>any use after 6pm → Tier 1 (evening timing test, observe-only). Daytime only → Tier 3 (not a sleep hypothesis).</t>
  </si>
  <si>
    <t>Dependence is real and quitting is hard. We test evening timing, not abstinence.</t>
  </si>
  <si>
    <t>We won't lecture you. We'll test just the evening ones and show you what they cost your sleep. What you do with that is yours.</t>
  </si>
  <si>
    <t>Nicotine and sleep. Look for: Jaehne 2009 review.</t>
  </si>
  <si>
    <t>kombucha-probiotic-drinks</t>
  </si>
  <si>
    <t>Kombucha / probiotic drinks</t>
  </si>
  <si>
    <t>gut</t>
  </si>
  <si>
    <t>It has hardly been tested as a health drink at all.</t>
  </si>
  <si>
    <t>Tier 3 with gut rating; cost shown.</t>
  </si>
  <si>
    <t>Untested, and $40 a month. A gut rating on and off is the only test that exists.</t>
  </si>
  <si>
    <t>bone-broth</t>
  </si>
  <si>
    <t>Bone broth</t>
  </si>
  <si>
    <t>gut, skin, joints</t>
  </si>
  <si>
    <t>A modest protein source. The collagen claims don't survive digestion any better than collagen powder.</t>
  </si>
  <si>
    <t>This is a decent bowl of soup with some protein in it. The claims about skin and joints aren't backed by studies, but you don't need a verdict to enjoy soup. If it's $40 a month, that's the only thing worth looking at.</t>
  </si>
  <si>
    <t>training-after-7pm</t>
  </si>
  <si>
    <t>fitness, sleep</t>
  </si>
  <si>
    <t>Reviews that pool many studies say evening exercise doesn't harm sleep on average, but vigorous exercise within an hour of bed delays it. Individual variation is large.</t>
  </si>
  <si>
    <t>Tier 1. On = usual late session, off = same session before 7pm or in the morning.</t>
  </si>
  <si>
    <t>(read from workouts)</t>
  </si>
  <si>
    <t>Read from the wearable's workout times; not asked. Vigorous session ending within 2 h of bed on 3+ nights a week → expected effect 1.0, Tier 1. Easy sessions, or ending before 8pm → Tier 3 (effect too small).</t>
  </si>
  <si>
    <t>On average, evening training is fine for sleep. But you're not an average, and this is one of the things that varies most from person to person. Worth a real test.</t>
  </si>
  <si>
    <t>Averages versus late-vigorous subgroup. Look for: Stutz 2019 meta-analysis, Sports Med.</t>
  </si>
  <si>
    <t>morning-workout-before-8am</t>
  </si>
  <si>
    <t>energy, sleep</t>
  </si>
  <si>
    <t>Exercising in the morning nudges your body clock a little earlier.</t>
  </si>
  <si>
    <t>The body-clock nudge from morning exercise is real but small night to night. That's about a third of one night's normal swing, so a two-week test would very likely come back inconclusive. We'll show you what the trials found and what it costs, and if you'd still like to run it, you can, knowing that going in.</t>
  </si>
  <si>
    <t>hiit-in-the-evening</t>
  </si>
  <si>
    <t>Vigorous intervals within 1–2 hours of bed raise body temperature and resting heart rate into the night.</t>
  </si>
  <si>
    <t>Read from workouts. Within 2 h of bed → Tier 1. Otherwise not a hypothesis.</t>
  </si>
  <si>
    <t>Of all the training-timing questions, this is the one most likely to show up in your sleep data. Worth the two weeks.</t>
  </si>
  <si>
    <t>10-000-steps-daily-walk</t>
  </si>
  <si>
    <t>habit</t>
  </si>
  <si>
    <t>fitness, sleep, mood</t>
  </si>
  <si>
    <t>Resting heart rate; share of time in bed actually asleep</t>
  </si>
  <si>
    <t>Being active during the day reliably improves sleep and lowers resting heart rate over time. The effect of any single day's walk on that night's sleep is real but modest.</t>
  </si>
  <si>
    <t>Tier 1 (on = 8k+, off = under 5k). Verdict notes long-term benefits regardless of the night-level result.</t>
  </si>
  <si>
    <t>Walking pays off over months; one day's effect on that night is small. That's about half of one night's normal swing, so a two-week test would very likely come back inconclusive. We'll show you what the trials found and what it costs, and if you'd still like to run it, you can, knowing that going in.</t>
  </si>
  <si>
    <t>zone-2-cardio-3-h-week</t>
  </si>
  <si>
    <t>fitness, HRV, longevity</t>
  </si>
  <si>
    <t>Resting heart rate; HRV (trend)</t>
  </si>
  <si>
    <t>Raises HRV (the recovery number) and lowers resting heart rate over 6 to 12 weeks. The evidence is strong. It's far too slow to test in 3-day blocks.</t>
  </si>
  <si>
    <t>Long-block only. v1: evidence line plus trend view.</t>
  </si>
  <si>
    <t>Works, slowly, and the evidence is about as strong as it gets. Not a two-week test; we'll show you the trend instead.</t>
  </si>
  <si>
    <t>HRV and RHR change over weeks. Look for: Sandercock 2005 meta-analysis.</t>
  </si>
  <si>
    <t>strength-training</t>
  </si>
  <si>
    <t>Strength training</t>
  </si>
  <si>
    <t>strength, body composition</t>
  </si>
  <si>
    <t>Strong evidence for almost everything you could want. It's not something that changes a single night's sleep, so it isn't a candidate for a two-week test.</t>
  </si>
  <si>
    <t>Not routed for testing. Verdict: keep.</t>
  </si>
  <si>
    <t>Not something we'd ever suggest testing away. Keep.</t>
  </si>
  <si>
    <t>stretching-yoga-before-bed</t>
  </si>
  <si>
    <t>Small trials found gentle evening yoga helped people fall asleep faster.</t>
  </si>
  <si>
    <t>The small trials found a few minutes' difference in falling asleep. That's about two fifths of one night's normal swing, so a two-week test would very likely come back inconclusive. We'll show you what the trials found and what it costs, and if you'd still like to run it, you can, knowing that going in.</t>
  </si>
  <si>
    <t>cold-plunge-ice-bath</t>
  </si>
  <si>
    <t>device</t>
  </si>
  <si>
    <t>3–5 min</t>
  </si>
  <si>
    <t>recovery, mood, HRV, resilience</t>
  </si>
  <si>
    <t>Worked example: a premium-gym member's stack, routed on day one</t>
  </si>
  <si>
    <t>Overnight HRV; resting heart rate; time to fall asleep (if evening)</t>
  </si>
  <si>
    <t>Summary (live formulas against the Items sheet; open in Excel to see the numbers)</t>
  </si>
  <si>
    <t>A made-up but typical inventory for the new target person. Answers are what they'd tap during onboarding. This is the day-one screen, before any experiment runs.</t>
  </si>
  <si>
    <t>Natural tier</t>
  </si>
  <si>
    <t>It does change HRV and alertness in the short term. The recovery benefits are modest, and doing it right after lifting weights actually reduces muscle growth. An evening plunge can make it harder to fall asleep.</t>
  </si>
  <si>
    <t>Tier 1. Pre-purchase proxy: cold shower for 14 days.</t>
  </si>
  <si>
    <t>Rows</t>
  </si>
  <si>
    <t>morning · evening</t>
  </si>
  <si>
    <t>Share of rows</t>
  </si>
  <si>
    <t>evening → number = time to fall asleep. Morning → number = overnight HRV. Either way Tier 3 (effect too small, can run anyway); pre-purchase proxy offered.</t>
  </si>
  <si>
    <t>Cost per month, added up</t>
  </si>
  <si>
    <t>Cost per month</t>
  </si>
  <si>
    <t>Cold shock is a real cardiac stressor. Ease in, never alone.</t>
  </si>
  <si>
    <t>The overnight effect is small and goes both ways from person to person. That's about half of one night's normal swing, so a two-week test would very likely come back inconclusive. We'll show you what the trials found and what it costs, and if you'd still like to run it, you can, knowing that going in.</t>
  </si>
  <si>
    <t>What they tapped</t>
  </si>
  <si>
    <t>1  Tested on you</t>
  </si>
  <si>
    <t>Where it lands</t>
  </si>
  <si>
    <t>Blunted muscle growth after lifting. Look for: Roberts 2015, J Physiol.</t>
  </si>
  <si>
    <t>Back on day one</t>
  </si>
  <si>
    <t>Note</t>
  </si>
  <si>
    <t>Equinox membership</t>
  </si>
  <si>
    <t>11 visits last month</t>
  </si>
  <si>
    <t>Tier 3, keep</t>
  </si>
  <si>
    <t>Going. $23 a visit.</t>
  </si>
  <si>
    <t>Barry's membership</t>
  </si>
  <si>
    <t>2 visits last month; overlaps with Equinox</t>
  </si>
  <si>
    <t>Tier 2, overlaps with something else</t>
  </si>
  <si>
    <t>Two memberships, one used. Keep Equinox.</t>
  </si>
  <si>
    <t>Restore recovery studio</t>
  </si>
  <si>
    <t>1 visit in 60 days</t>
  </si>
  <si>
    <t>Tier 2, not being used</t>
  </si>
  <si>
    <t>$250 for one visit.</t>
  </si>
  <si>
    <t>cold-shower-morning</t>
  </si>
  <si>
    <t>Massage Envy membership</t>
  </si>
  <si>
    <t>3 credits banked, last visit July</t>
  </si>
  <si>
    <t>Use the credits, pause the billing.</t>
  </si>
  <si>
    <t>2  No test needed</t>
  </si>
  <si>
    <t>Calm subscription</t>
  </si>
  <si>
    <t>last opened 2 months ago, still paying</t>
  </si>
  <si>
    <t>Resubscribe the week it's wanted.</t>
  </si>
  <si>
    <t>Peloton app</t>
  </si>
  <si>
    <t>used 9 times last month</t>
  </si>
  <si>
    <t>Used.</t>
  </si>
  <si>
    <t>AG1 greens powder</t>
  </si>
  <si>
    <t>still paying; no specific goal</t>
  </si>
  <si>
    <t>Tier 3, can't measure</t>
  </si>
  <si>
    <t>$1,080 a year shown. Their call.</t>
  </si>
  <si>
    <t>Magnesium citrate, 120 mg</t>
  </si>
  <si>
    <t>form: citrate; dose: 120 mg elemental</t>
  </si>
  <si>
    <t>1–3 min</t>
  </si>
  <si>
    <t>Below 200 mg. Step up or drop.</t>
  </si>
  <si>
    <t>energy, mood, HRV</t>
  </si>
  <si>
    <t>Collagen gummies</t>
  </si>
  <si>
    <t>2 g per serving</t>
  </si>
  <si>
    <t>3  Can't measure it</t>
  </si>
  <si>
    <t>Trials used 10 g. Powder if they want it.</t>
  </si>
  <si>
    <t>Fish oil, 1 capsule</t>
  </si>
  <si>
    <t>Overnight HRV; resting heart rate</t>
  </si>
  <si>
    <t>300 mg EPA+DHA</t>
  </si>
  <si>
    <t>Below 500 mg.</t>
  </si>
  <si>
    <t>Vitamin C serum, clear bottle</t>
  </si>
  <si>
    <t>form unknown; serum has turned orange</t>
  </si>
  <si>
    <t>Already oxidised.</t>
  </si>
  <si>
    <t>Toner</t>
  </si>
  <si>
    <t>routine: cleanser, toner, serum, moisturiser</t>
  </si>
  <si>
    <t>The serum does this.</t>
  </si>
  <si>
    <t>Eye cream</t>
  </si>
  <si>
    <t>same ingredient list as the moisturiser</t>
  </si>
  <si>
    <t>Same formula, smaller jar.</t>
  </si>
  <si>
    <t>Retinol, nightly</t>
  </si>
  <si>
    <t>P  Protected</t>
  </si>
  <si>
    <t>Strong evidence. Weekly skin rating.</t>
  </si>
  <si>
    <t>Sunscreen</t>
  </si>
  <si>
    <t>Strongest evidence on the list.</t>
  </si>
  <si>
    <t>Monthly facial</t>
  </si>
  <si>
    <t>went last month</t>
  </si>
  <si>
    <t>$1,800 a year shown; skin rating offered.</t>
  </si>
  <si>
    <t>Coffee, last cup around 4pm</t>
  </si>
  <si>
    <t>clock time: 2 to 5pm</t>
  </si>
  <si>
    <t>One trial found people took fewer sick days, though they got ill just as often. The jolt of alertness is real, even though it's a feeling rather than a number.</t>
  </si>
  <si>
    <t>Tier 1, tested on you</t>
  </si>
  <si>
    <t>First experiment. Expected effect 1.0.</t>
  </si>
  <si>
    <t>Drinks, 3 nights a week</t>
  </si>
  <si>
    <t>Tier 1. Also the free proxy for a plunge purchase.</t>
  </si>
  <si>
    <t>nights a week: 3 to 4</t>
  </si>
  <si>
    <t>Tier 1, observe only</t>
  </si>
  <si>
    <t>Second experiment. Expected effect 1.5.</t>
  </si>
  <si>
    <t>read from workouts: 4 evening sessions a week ending 9pm</t>
  </si>
  <si>
    <t>Third experiment; day-one hypothesis from 6 months of history.</t>
  </si>
  <si>
    <t>Dinner an hour before bed</t>
  </si>
  <si>
    <t>clock time: under 1.5 h</t>
  </si>
  <si>
    <t>Fourth in the queue.</t>
  </si>
  <si>
    <t>Oura ring</t>
  </si>
  <si>
    <t>The jolt is real. The overnight numbers barely notice. That's about a third of one night's normal swing, so a two-week test would very likely come back inconclusive. We'll show you what the trials found and what it costs, and if you'd still like to run it, you can, knowing that going in.</t>
  </si>
  <si>
    <t>Protected (it's the data source)</t>
  </si>
  <si>
    <t>Stack on arrival</t>
  </si>
  <si>
    <t>sauna-post-workout-or-evening</t>
  </si>
  <si>
    <t>Total</t>
  </si>
  <si>
    <t>15–20 min, 2–4x/week</t>
  </si>
  <si>
    <t>recovery, heart, sleep, longevity</t>
  </si>
  <si>
    <t>Long-term studies of large groups in Finland link frequent sauna use to fewer deaths from heart disease, though that's from watching people over years, not a controlled test. An evening sauna helps many people fall asleep faster, because body temperature drops afterwards.</t>
  </si>
  <si>
    <t>Tier 1. Pre-purchase proxy: hot bath or shower 1–2 h before bed.</t>
  </si>
  <si>
    <t>morning · midday · evening</t>
  </si>
  <si>
    <t>evening sessions → number = time to fall asleep, Tier 1. Morning or midday → number = overnight HRV, expected effect 0.5, Tier 3 (effect too small).</t>
  </si>
  <si>
    <t>Hydrate. Not with alcohol.</t>
  </si>
  <si>
    <t>The long-term heart evidence is from watching people rather than testing them but consistent. The sleep effect is testable tonight. Both facts belong in your file.</t>
  </si>
  <si>
    <t>Finnish cohort. Look for: Laukkanen 2015, JAMA Intern Med.</t>
  </si>
  <si>
    <t>hot-bath-shower-1-2-h-before-bed</t>
  </si>
  <si>
    <t>10–15 min, about 40°C</t>
  </si>
  <si>
    <t>Dropped on day one, no experiment</t>
  </si>
  <si>
    <t>A review that pooled 17 studies found people fell asleep about 10 minutes faster when they had a warm bath or shower 1 to 2 hours before bed.</t>
  </si>
  <si>
    <t>Tier 1. Free. Also the proxy for sauna.</t>
  </si>
  <si>
    <t>Tier 1. Also the stand-in test for a sauna purchase.</t>
  </si>
  <si>
    <t>One of the best-supported free sleep tools there is, and the one we'd test before you buy a sauna.</t>
  </si>
  <si>
    <t>10-minute figure. Look for: Haghayegh 2019, Sleep Medicine Reviews.</t>
  </si>
  <si>
    <t>breathwork-box-4-7-8-physiological-sigh</t>
  </si>
  <si>
    <t>5 min</t>
  </si>
  <si>
    <t>stress, sleep, HRV</t>
  </si>
  <si>
    <t>Lined up for testing</t>
  </si>
  <si>
    <t>Slow breathing reliably raises HRV (the recovery number) acutely. A 2023 trial found 5 minutes a day of exhale-focused breathing beat mindfulness for mood.</t>
  </si>
  <si>
    <t>Slow breathing lifts HRV while you do it; less carries into the night. That's about half of one night's normal swing, so a two-week test would very likely come back inconclusive. We'll show you what the trials found and what it costs, and if you'd still like to run it, you can, knowing that going in.</t>
  </si>
  <si>
    <t>meditation-app-calm-headspace</t>
  </si>
  <si>
    <t>service</t>
  </si>
  <si>
    <t>Can't measure, cost shown</t>
  </si>
  <si>
    <t>10 min daily</t>
  </si>
  <si>
    <t>stress, sleep, focus</t>
  </si>
  <si>
    <t>Keep</t>
  </si>
  <si>
    <t>Good evidence that people feel less stressed and say they sleep better. The measured changes in sleep are smaller.</t>
  </si>
  <si>
    <t>Goal sleep: Tier 1. Goal stress: Tier 3 (stress rating).</t>
  </si>
  <si>
    <t>last used over 30 days ago AND still paying → Tier 2 (not being used). Used this month → Tier 3 (effect too small, can run anyway). Overlap group 'meditation apps'.</t>
  </si>
  <si>
    <t>People say they sleep better; the measured change is small. That's about two fifths of one night's normal swing, so a two-week test would very likely come back inconclusive. We'll show you what the trials found and what it costs, and if you'd still like to run it, you can, knowing that going in.</t>
  </si>
  <si>
    <t>What this shows</t>
  </si>
  <si>
    <t>nsdr-yoga-nidra</t>
  </si>
  <si>
    <t>Ten items come off on day one and about $767 a month comes back, before a single experiment runs. Only three of the ten are supplements. Seven are services, apps and skincare, and those seven are $685 of the $767. That is the 'cut at least five things in 60 days' promise met on the first screen, for a person who owns two supplements.</t>
  </si>
  <si>
    <t>10–20 min</t>
  </si>
  <si>
    <t>recovery, sleep, stress</t>
  </si>
  <si>
    <t>By category</t>
  </si>
  <si>
    <t>Natural Tier 1</t>
  </si>
  <si>
    <t>The day-one screen reads: 21 things, $1,342 a month. 10 come off today, $767 a month back. 4 lined up for testing. 3 we can't measure, here's what they cost. 4 to keep. That's the emotional peak of the flow, and it exists because of the follow-up questions and the overlap groups. Without them, this screen would show one drop.</t>
  </si>
  <si>
    <t>Runnable Tier 1 after gate</t>
  </si>
  <si>
    <t>Tier 2</t>
  </si>
  <si>
    <t>Every drop on this screen is one the person would agree with in a sentence: two gyms, one used. A studio visited once. Credits banked since July. An app still billing. A dose under the studied amount. A serum that's already gone orange. None of them is a judgement about the person.</t>
  </si>
  <si>
    <t>Tier 3</t>
  </si>
  <si>
    <t>Small trials. Acute relaxation effects are real.</t>
  </si>
  <si>
    <t>The relaxation is real; the measured change on the night is small. That's about a third of one night's normal swing, so a two-week test would very likely come back inconclusive. We'll show you what the trials found and what it costs, and if you'd still like to run it, you can, knowing that going in.</t>
  </si>
  <si>
    <t>journaling-worry-list-before-bed</t>
  </si>
  <si>
    <t>time to fall asleep, anxiety</t>
  </si>
  <si>
    <t>In a lab trial, people who spent five minutes writing tomorrow's to-do list fell asleep about 9 minutes faster.</t>
  </si>
  <si>
    <t>Five minutes, free, and one decent trial behind it. Easy test.</t>
  </si>
  <si>
    <t>9-minute figure. Look for: Scullin 2018, J Exp Psychol Gen.</t>
  </si>
  <si>
    <t>gratitude-practice</t>
  </si>
  <si>
    <t>Gratitude practice</t>
  </si>
  <si>
    <t>A wearable can't see mood.</t>
  </si>
  <si>
    <t>A modest benefit for mood in trials. A wearable can't see it.</t>
  </si>
  <si>
    <t>Tier 3 with mood rating. Free: verdict says keep if it helps.</t>
  </si>
  <si>
    <t>Can't see it, costs nothing, evidence says it helps a little. Keep it if it's yours.</t>
  </si>
  <si>
    <t>reading-paper-before-bed</t>
  </si>
  <si>
    <t>Small trials versus screens favour paper.</t>
  </si>
  <si>
    <t>Reading mostly helps by replacing a screen. That's about two fifths of one night's normal swing, so a two-week test would very likely come back inconclusive. We'll show you what the trials found and what it costs, and if you'd still like to run it, you can, knowing that going in.</t>
  </si>
  <si>
    <t>screens-phone-in-bed</t>
  </si>
  <si>
    <t>What you're looking at, and how worked up it gets you, matters more than the blue light. People who use social media in bed fall asleep 20 to 30 minutes later, in studies that watched people rather than tested them.</t>
  </si>
  <si>
    <t>Tier 1: off = phone charges outside the bedroom.</t>
  </si>
  <si>
    <t>nights a week with the phone in bed: 0 to 2 · 3 to 5 · most</t>
  </si>
  <si>
    <t>most nights → Tier 1. Rarely → not a hypothesis.</t>
  </si>
  <si>
    <t>The most-tested free change there is, and the one nobody actually tests on themselves. Three nights at a time, phone in the kitchen.</t>
  </si>
  <si>
    <t>20 to 30 min figure. Look for: Levenson 2017; Exelmans &amp; Van den Bulck 2016.</t>
  </si>
  <si>
    <t>work-email-after-9pm</t>
  </si>
  <si>
    <t>People who do work late into the evening tend to fall asleep later and have lower HRV (the recovery number).</t>
  </si>
  <si>
    <t>The studies here watched people rather than tested them, and the effect is modest. That's about half of one night's normal swing, so a two-week test would very likely come back inconclusive. We'll show you what the trials found and what it costs, and if you'd still like to run it, you can, knowing that going in.</t>
  </si>
  <si>
    <t>tv-in-the-bedroom</t>
  </si>
  <si>
    <t>Falling asleep to TV is associated with shorter, lighter sleep.</t>
  </si>
  <si>
    <t>consistent-wake-time-30-min</t>
  </si>
  <si>
    <t>sleep, energy</t>
  </si>
  <si>
    <t>A 2023 study that followed 60,000 people found that keeping a regular sleep schedule predicted living longer better than how many hours people slept. It's the single strongest sleep habit we know of.</t>
  </si>
  <si>
    <t>Tier 1 (on = fixed wake time including weekends, off = free). Verdict leans keep regardless.</t>
  </si>
  <si>
    <t>(read from sleep data)</t>
  </si>
  <si>
    <t>Read from sleep data: wake-time spread over the last 30 days. Spread over 60 min → Tier 1. Under 30 min → already doing it; 'kept' on day one.</t>
  </si>
  <si>
    <t>If there's one thing to keep no matter what your two weeks say, it's this. We'll still show you the number.</t>
  </si>
  <si>
    <t>60,000-person regularity study. Look for: Windred 2024, Sleep (UK Biobank).</t>
  </si>
  <si>
    <t>weekend-sleep-in-over-1-h</t>
  </si>
  <si>
    <t>Time to fall asleep Sunday/Monday; share of time in bed actually asleep</t>
  </si>
  <si>
    <t>Sleeping in by an hour or two at the weekend shifts your body clock later, which makes Sunday night harder and Monday morning worse.</t>
  </si>
  <si>
    <t>Tier 1 (weekly blocks).</t>
  </si>
  <si>
    <t>Read from sleep data. Weekend wake time over 60 min later than weekday → Tier 3 (effect too small, weekly blocks offered).</t>
  </si>
  <si>
    <t>The Sunday-night effect is real, but it's one night a week. That's about two thirds of one night's normal swing, so a two-week test would very likely come back inconclusive. We'll show you what the trials found and what it costs, and if you'd still like to run it, you can, knowing that going in.</t>
  </si>
  <si>
    <t>Social jet lag. Look for: Wittmann 2006.</t>
  </si>
  <si>
    <t>afternoon-nap-after-3pm-or-over-30-min</t>
  </si>
  <si>
    <t>Short, early naps are fine. Late or long naps use up some of the tiredness you need to fall asleep at night.</t>
  </si>
  <si>
    <t>(read from wearable)</t>
  </si>
  <si>
    <t>Read from the wearable where it detects naps. Naps after 3pm or over 30 min on 3+ days a week → Tier 1. Otherwise not a hypothesis.</t>
  </si>
  <si>
    <t>Naps aren't the enemy. Late long naps might be. Testable.</t>
  </si>
  <si>
    <t>Late naps and night sleep. Look for: Milner &amp; Cote 2009 review.</t>
  </si>
  <si>
    <t>snoozing-the-alarm</t>
  </si>
  <si>
    <t>A 2023 trial found that 30 minutes of snoozing didn't do any harm, and slightly helped people think clearly in the morning, at least for people who snooze regularly.</t>
  </si>
  <si>
    <t>Tier 1. Low priority.</t>
  </si>
  <si>
    <t>The 2023 trial found essentially nothing either way. That's about a fifth of one night's normal swing, so a two-week test would very likely come back inconclusive. We'll show you what the trials found and what it costs, and if you'd still like to run it, you can, knowing that going in.</t>
  </si>
  <si>
    <t>2023 snooze trial. Look for: Sundelin 2023, J Sleep Res.</t>
  </si>
  <si>
    <t>checking-the-sleep-score-every-morning</t>
  </si>
  <si>
    <t>Checking the sleep score every morning</t>
  </si>
  <si>
    <t>Not testable with the device that causes it.</t>
  </si>
  <si>
    <t>Sleep-score anxiety is a documented thing: for some people, worrying about the number makes their sleep worse.</t>
  </si>
  <si>
    <t>Not testable with the device that causes it. Verdict: gentle note plus option to hide scores.</t>
  </si>
  <si>
    <t>We're aware of the irony. If checking your score makes you anxious, we can hide it and just send verdicts. Say the word.</t>
  </si>
  <si>
    <t>morning-sunlight-10-min-outdoors</t>
  </si>
  <si>
    <t>sleep, energy, mood</t>
  </si>
  <si>
    <t>Morning light nudges your body clock earlier, which helps you get sleepy earlier at night. The effect builds up over several days.</t>
  </si>
  <si>
    <t>Tier 1 with 7/7 blocks preferred.</t>
  </si>
  <si>
    <t>This builds over a week or more, which makes it hard to see in short blocks. That's about half of one night's normal swing, so a two-week test would very likely come back inconclusive. We'll show you what the trials found and what it costs, and if you'd still like to run it, you can, knowing that going in.</t>
  </si>
  <si>
    <t>Body-clock advance. Look for: Wright 2013, Curr Biol.</t>
  </si>
  <si>
    <t>grounding-earthing-sheets-mats</t>
  </si>
  <si>
    <t>Grounding / earthing (sheets, mats)</t>
  </si>
  <si>
    <t>inflammation, sleep</t>
  </si>
  <si>
    <t>Sleep; overnight HRV</t>
  </si>
  <si>
    <t>Tier 2; no mechanism.</t>
  </si>
  <si>
    <t>The trials are tiny, the people in them knew what they were getting, and most were run by people selling the products. There's no known way for it to work.</t>
  </si>
  <si>
    <t>Sheets/mats: Tier 2. Barefoot walking: Tier 3 (it's a walk; walks are good).</t>
  </si>
  <si>
    <t>The walk is good for you. The 'earthing' part has no mechanism and no real trials. Keep the walk, skip the $30 sheet.</t>
  </si>
  <si>
    <t>That trials are small, unblinded and proponent-run. Look for: Chevalier 2012 (author affiliations).</t>
  </si>
  <si>
    <t>weighted-blanket</t>
  </si>
  <si>
    <t>nightly (purchase price spread over 24 months)</t>
  </si>
  <si>
    <t>A proper controlled trial in people with insomnia and mental health conditions found they said it helped a lot. The measured changes in their sleep were smaller than what they reported.</t>
  </si>
  <si>
    <t>last used over 30 days ago → Tier 2 (not being used). In use → Tier 3 (effect too small, can run anyway).</t>
  </si>
  <si>
    <t>People say it helps a lot; the measured change is a few minutes. That's about half of one night's normal swing, so a two-week test would very likely come back inconclusive. We'll show you what the trials found and what it costs, and if you'd still like to run it, you can, knowing that going in.</t>
  </si>
  <si>
    <t>The trial and its population. Look for: Ekholm 2020, J Clin Sleep Med.</t>
  </si>
  <si>
    <t>mouth-tape</t>
  </si>
  <si>
    <t>sleep, snoring, dry mouth</t>
  </si>
  <si>
    <t>Share of time in bed actually asleep; breathing rate; time awake during the night</t>
  </si>
  <si>
    <t>One small trial in people with mild sleep apnoea (breathing pausing during sleep) found less snoring. There are no studies in people who sleep normally.</t>
  </si>
  <si>
    <t>Tier 1 with safety gate: gasping/choking or suspected apnoea: Protected plus 'see a sleep clinician'.</t>
  </si>
  <si>
    <t>still using; snoring: yes · no · not sure</t>
  </si>
  <si>
    <t>last used over 30 days ago → Tier 2 (not being used). Snores or partner reports snoring → expected effect 0.8, Tier 1 with safety gate. Otherwise Tier 3.</t>
  </si>
  <si>
    <t>Don't tape if you can't breathe comfortably through your nose, or if you suspect sleep apnoea (breathing stopping during sleep).</t>
  </si>
  <si>
    <t>Unless you snore, there's no measured effect to look for. That's about a third of one night's normal swing, so a two-week test would very likely come back inconclusive. We'll show you what the trials found and what it costs, and if you'd still like to run it, you can, knowing that going in.</t>
  </si>
  <si>
    <t>The one small apnoea trial. Look for: Lee 2022, Healthcare (mouth taping in mild OSA).</t>
  </si>
  <si>
    <t>nasal-strips-dilator</t>
  </si>
  <si>
    <t>breathing, snoring</t>
  </si>
  <si>
    <t>Breathing rate; time awake during the night; share of time in bed actually asleep</t>
  </si>
  <si>
    <t>Improve airflow modestly. Snoring reduction in some.</t>
  </si>
  <si>
    <t>still using; blocked nose or snoring: yes · no</t>
  </si>
  <si>
    <t>last used over 30 days ago → Tier 2 (not being used). Blocked nose or snoring → expected effect 0.7. Otherwise Tier 3.</t>
  </si>
  <si>
    <t>Unless your nose is blocked or you snore, the gain is small. That's about a third of one night's normal swing, so a two-week test would very likely come back inconclusive. We'll show you what the trials found and what it costs, and if you'd still like to run it, you can, knowing that going in.</t>
  </si>
  <si>
    <t>blue-light-blocking-glasses</t>
  </si>
  <si>
    <t>2 h before bed (purchase price spread over 24 months)</t>
  </si>
  <si>
    <t>A few small trials found amber lenses helped people fall asleep faster. A large 2023 review that pooled all the trials found little effect overall.</t>
  </si>
  <si>
    <t>last used over 30 days ago → Tier 2 (not being used). Otherwise Tier 3 (effect too small, can run anyway).</t>
  </si>
  <si>
    <t>The best review found little; the small trials found a few minutes. That's about two fifths of one night's normal swing, so a two-week test would very likely come back inconclusive. We'll show you what the trials found and what it costs, and if you'd still like to run it, you can, knowing that going in.</t>
  </si>
  <si>
    <t>2023 review. Look for: Singh 2023, Cochrane.</t>
  </si>
  <si>
    <t>eye-mask</t>
  </si>
  <si>
    <t>Share of time in bed actually asleep; deep sleep</t>
  </si>
  <si>
    <t>A 2023 trial found better memory and alertness after sleeping with a mask. Darkness matters.</t>
  </si>
  <si>
    <t>last used over 30 days ago → Tier 2 (not being used). Otherwise Tier 3. Room already blacked out → overlap with blackout.</t>
  </si>
  <si>
    <t>If your room is already dark, there's not much left for a mask to do. That's about two fifths of one night's normal swing, so a two-week test would very likely come back inconclusive. We'll show you what the trials found and what it costs, and if you'd still like to run it, you can, knowing that going in.</t>
  </si>
  <si>
    <t>2023 mask trial. Look for: Greco 2023, Sleep.</t>
  </si>
  <si>
    <t>earplugs</t>
  </si>
  <si>
    <t>Time awake during the night; share of time in bed actually asleep</t>
  </si>
  <si>
    <t>Reduce noise awakenings. Well supported in noisy environments.</t>
  </si>
  <si>
    <t>still using; noise at night: yes · no</t>
  </si>
  <si>
    <t>last used over 30 days ago → Tier 2 (not being used). Noisy room or snoring partner → expected effect 1.0, Tier 1. Otherwise Tier 3.</t>
  </si>
  <si>
    <t>In a quiet room there's nothing to block. That's about three fifths of one night's normal swing, so a two-week test would very likely come back inconclusive. We'll show you what the trials found and what it costs, and if you'd still like to run it, you can, knowing that going in.</t>
  </si>
  <si>
    <t>white-noise-sound-machine</t>
  </si>
  <si>
    <t>It helps when there's noise to cover. A 2020 review found the evidence was weak, and that in an already-quiet room it might make sleep slightly worse.</t>
  </si>
  <si>
    <t>last used over 30 days ago → Tier 2 (not being used). Quiet room → Tier 3 with the 'may be doing the opposite' note. Overlap with earplugs.</t>
  </si>
  <si>
    <t>environment</t>
  </si>
  <si>
    <t>In a quiet room, it has nothing to cover. That's about a third of one night's normal swing, so a two-week test would very likely come back inconclusive. We'll show you what the trials found and what it costs, and if you'd still like to run it, you can, knowing that going in.</t>
  </si>
  <si>
    <t>2020 review. Look for: Riedy 2021, Sleep Med Rev.</t>
  </si>
  <si>
    <t>sleep-headphones-sleep-stories</t>
  </si>
  <si>
    <t>time to fall asleep</t>
  </si>
  <si>
    <t>Minimal research. Works for some as a distraction from rumination.</t>
  </si>
  <si>
    <t>last used over 30 days ago → Tier 2 (not being used). Otherwise Tier 3.</t>
  </si>
  <si>
    <t>There's almost no research, and no reason to expect a big change. That's about a third of one night's normal swing, so a two-week test would very likely come back inconclusive. We'll show you what the trials found and what it costs, and if you'd still like to run it, you can, knowing that going in.</t>
  </si>
  <si>
    <t>sunrise-alarm-hatch-etc</t>
  </si>
  <si>
    <t>purchase price spread over 24 months</t>
  </si>
  <si>
    <t>waking, sleep</t>
  </si>
  <si>
    <t>Time to fall asleep; wake consistency</t>
  </si>
  <si>
    <t>A light that brightens slowly before your alarm makes people say they feel more awake. The trials are small.</t>
  </si>
  <si>
    <t>last used over 30 days ago → Tier 2 (not being used). Otherwise Tier 3. Overlap group 'wake-up light'.</t>
  </si>
  <si>
    <t>People feel a bit more awake; the sleep numbers barely move. That's about a fifth of one night's normal swing, so a two-week test would very likely come back inconclusive. We'll show you what the trials found and what it costs, and if you'd still like to run it, you can, knowing that going in.</t>
  </si>
  <si>
    <t>light-therapy-box-10-000-lux</t>
  </si>
  <si>
    <t>20–30 min, morning (purchase price spread over 24 months)</t>
  </si>
  <si>
    <t>mood, energy, sleep</t>
  </si>
  <si>
    <t>skincare</t>
  </si>
  <si>
    <t>Well supported for low mood in winter. It also nudges the body clock earlier.</t>
  </si>
  <si>
    <t>Goal mood: Tier 3 (rating). Goal sleep: Tier 1 with weekly blocks.</t>
  </si>
  <si>
    <t>last used over 30 days ago → Tier 2 (not being used). Otherwise goal mood → Tier 3 rating; goal sleep → Tier 3 (effect too small). Overlap group 'wake-up light'.</t>
  </si>
  <si>
    <t>Bipolar disorder: bright light can trigger mania. Ask a clinician.</t>
  </si>
  <si>
    <t>The mood effect is the big one, and a wearable can't see mood. That's about half of one night's normal swing, so a two-week test would very likely come back inconclusive. We'll show you what the trials found and what it costs, and if you'd still like to run it, you can, knowing that going in.</t>
  </si>
  <si>
    <t>red-light-therapy-panel</t>
  </si>
  <si>
    <t>Red light therapy panel</t>
  </si>
  <si>
    <t>10 min daily (purchase price spread over 24 months)</t>
  </si>
  <si>
    <t>skin, recovery, sleep, testosterone</t>
  </si>
  <si>
    <t>Some evidence for skin and wound healing. The recovery and sleep claims are thin. The testosterone claim comes from a study in rats.</t>
  </si>
  <si>
    <t>Goal skin: Tier 3 rating. Goal sleep: Tier 1 (evening use). Goal testosterone: Tier 2 (tested, found nothing).</t>
  </si>
  <si>
    <t>last used over 30 days ago → Tier 2 (not being used). Otherwise by goal. Overlap group 'at-home skin devices'.</t>
  </si>
  <si>
    <t>professional skin treatments, at-home skin devices</t>
  </si>
  <si>
    <t>For skin, there's some evidence and a rating can track it. For sleep, we can test it. For testosterone, that study was in rats, and it's fine to let that one go.</t>
  </si>
  <si>
    <t>eight-sleep-cooling-mattress-pad</t>
  </si>
  <si>
    <t>nightly (subscription plus purchase price spread over 24 months)</t>
  </si>
  <si>
    <t>sleep, deep sleep</t>
  </si>
  <si>
    <t>Deep sleep; time awake during the night; resting heart rate</t>
  </si>
  <si>
    <t>Cooling the bed makes sense biologically, because your body temperature has to drop for you to fall asleep. The only studies of the product were run by the company itself.</t>
  </si>
  <si>
    <t>Tier 1: on = cooling active, off = pad off.</t>
  </si>
  <si>
    <t>still paying; sleeps hot: yes · no</t>
  </si>
  <si>
    <t>subscription active AND cooling not used in 30 days → Tier 2 (not being used). Sleeps hot → expected effect 0.9, Tier 1. Otherwise Tier 3.</t>
  </si>
  <si>
    <t>Unless you sleep hot, the independent guess is a modest change. That's about half of one night's normal swing, so a two-week test would very likely come back inconclusive. We'll show you what the trials found and what it costs, and if you'd still like to run it, you can, knowing that going in.</t>
  </si>
  <si>
    <t>massage-gun</t>
  </si>
  <si>
    <t>Massage gun</t>
  </si>
  <si>
    <t>soreness, recovery</t>
  </si>
  <si>
    <t>It makes people feel less sore for a short while. It doesn't change the measurable recovery numbers.</t>
  </si>
  <si>
    <t>Tier 3 with soreness rating.</t>
  </si>
  <si>
    <t>last used over 30 days ago → Tier 2 (not being used). Otherwise Tier 3 with soreness rating.</t>
  </si>
  <si>
    <t>Day-one drops, by reason</t>
  </si>
  <si>
    <t>It feels good and that's a legitimate outcome. Recovery markers don't move. Keep it for the feeling if the feeling is worth it.</t>
  </si>
  <si>
    <t>compression-boots-normatec</t>
  </si>
  <si>
    <t>Compression boots (Normatec)</t>
  </si>
  <si>
    <t>recovery</t>
  </si>
  <si>
    <t>Overnight numbers don't move.</t>
  </si>
  <si>
    <t>People feel more recovered after using them. The measurable numbers mostly don't change.</t>
  </si>
  <si>
    <t>Tier 3 with soreness rating. Optional Tier 1 on HRV.</t>
  </si>
  <si>
    <t>Same as the massage gun: your legs feel better, the numbers don't move. Both things are true.</t>
  </si>
  <si>
    <t>continuous-glucose-monitor-no-diabetes</t>
  </si>
  <si>
    <t>Continuous glucose monitor (no diabetes)</t>
  </si>
  <si>
    <t>overlaps with something else</t>
  </si>
  <si>
    <t>energy, weight, metabolic health</t>
  </si>
  <si>
    <t>not being used</t>
  </si>
  <si>
    <t>No evidence it helps people who don't have diabetes. It turns perfectly normal rises in blood sugar after meals into something to worry about.</t>
  </si>
  <si>
    <t>Tier 3 with cost shown. Diabetes / prediabetes: Protected.</t>
  </si>
  <si>
    <t>still paying → Tier 3 with annual cost. Diabetes or prediabetes → Protected.</t>
  </si>
  <si>
    <t>For someone without diabetes, this mostly produces anxiety about normal numbers. $1,200 a year. We'd rather you spent it on almost anything else, but it's your call.</t>
  </si>
  <si>
    <t>No evidence of benefit without diabetes. Look for: Klonoff 2023 commentary; any RCT in non-diabetic adults (none positive).</t>
  </si>
  <si>
    <t>second-wearable-oura-plus-whoop</t>
  </si>
  <si>
    <t>data</t>
  </si>
  <si>
    <t>They measure the same things. Wearing both doesn't tell you anything new.</t>
  </si>
  <si>
    <t>Tier 2 (duplicate).</t>
  </si>
  <si>
    <t>Both in the inventory → Tier 2 (overlaps with something else). Overlap group 'wearables'.</t>
  </si>
  <si>
    <t>They measure the same things. Pick the one you like wearing; the other subscription can go.</t>
  </si>
  <si>
    <t>No check needed; both measure the same signals.</t>
  </si>
  <si>
    <t>air-purifier-bedroom</t>
  </si>
  <si>
    <t>nightly (purchase price spread over 24 months, plus filters)</t>
  </si>
  <si>
    <t>allergies, sleep, air</t>
  </si>
  <si>
    <t>Breathing rate; time awake during the night</t>
  </si>
  <si>
    <t>A clear benefit for people with allergies. Small trials suggest better sleep for people living in polluted cities.</t>
  </si>
  <si>
    <t>Allergies or urban: Tier 1. Otherwise Tier 3.</t>
  </si>
  <si>
    <t>running; allergies: yes · no</t>
  </si>
  <si>
    <t>off or unplugged for 30 days → Tier 2 (not being used). Allergies or heavy traffic → expected effect 0.7. Otherwise Tier 3.</t>
  </si>
  <si>
    <t>Unless you have allergies or live near traffic, the effect on sleep is small. That's about a third of one night's normal swing, so a two-week test would very likely come back inconclusive. We'll show you what the trials found and what it costs, and if you'd still like to run it, you can, knowing that going in.</t>
  </si>
  <si>
    <t>humidifier</t>
  </si>
  <si>
    <t>dry air, congestion</t>
  </si>
  <si>
    <t>Rows needing a fact-check</t>
  </si>
  <si>
    <t>A comfort item. There are no sleep trials.</t>
  </si>
  <si>
    <t>Tier 1, low priority.</t>
  </si>
  <si>
    <t>Tier 2 rows needing a fact-check (should equal all Tier 2 rows)</t>
  </si>
  <si>
    <t>unused for 30 days → Tier 2 (not being used). Otherwise Tier 3.</t>
  </si>
  <si>
    <t>Clean it. Dirty humidifiers are worse than none.</t>
  </si>
  <si>
    <t>It's a comfort item, and there are no trials. That's about a tenth of one night's normal swing, so a two-week test would very likely come back inconclusive. We'll show you what the trials found and what it costs, and if you'd still like to run it, you can, knowing that going in.</t>
  </si>
  <si>
    <t>salt-lamp</t>
  </si>
  <si>
    <t>Salt lamp</t>
  </si>
  <si>
    <t>air, calm</t>
  </si>
  <si>
    <t>'Share of rows' is the share of this catalogue, not of a typical person's stack. Real stacks are heavy on supplements, so a real person will have a higher Tier 3 share than the catalogue does.</t>
  </si>
  <si>
    <t>It does not clean or change the air in any way anyone has been able to measure.</t>
  </si>
  <si>
    <t>Tier 2. Verdict: keep as a lamp.</t>
  </si>
  <si>
    <t>It's a nice lamp. It isn't cleaning the air. Nothing to drop, just nothing to expect.</t>
  </si>
  <si>
    <t>No measurable air effect. Look for: any indoor-air-quality test of salt lamps; none show an effect.</t>
  </si>
  <si>
    <t>bedroom-plants-for-air</t>
  </si>
  <si>
    <t>Bedroom plants (for air)</t>
  </si>
  <si>
    <t>air quality</t>
  </si>
  <si>
    <t>The famous NASA study was done in a sealed box. In a real bedroom you'd need hundreds of plants to change the air.</t>
  </si>
  <si>
    <t>Tier 2. Keep the plants.</t>
  </si>
  <si>
    <t>Keep the plants because they're nice, not because they're filtering anything. That one's a myth from a sealed NASA chamber.</t>
  </si>
  <si>
    <t>NASA chamber study context. Look for: Cummings &amp; Waring 2019 (would need 10 to 1000 plants per m2).</t>
  </si>
  <si>
    <t>emf-blockers-anti-radiation-stickers</t>
  </si>
  <si>
    <t>EMF blockers / anti-radiation stickers</t>
  </si>
  <si>
    <t>sleep, health</t>
  </si>
  <si>
    <t>No mechanism, no evidence.</t>
  </si>
  <si>
    <t>Nothing here to test. This one can go without any experiment at all.</t>
  </si>
  <si>
    <t>No mechanism; FTC actions against sellers.</t>
  </si>
  <si>
    <t>hydrogen-alkaline-water</t>
  </si>
  <si>
    <t>Hydrogen / alkaline water</t>
  </si>
  <si>
    <t>energy, antioxidant</t>
  </si>
  <si>
    <t>Alkaline water is neutralised by stomach acid. Hydrogen water has small trial paid for by the sellers only.</t>
  </si>
  <si>
    <t>Your stomach acid undoes alkaline water on contact. Hydrogen water has a couple of tiny company trials. Tap water and $40 back.</t>
  </si>
  <si>
    <t>Stomach acid neutralises alkaline water; hydrogen water trials are small and seller-funded.</t>
  </si>
  <si>
    <t>vibration-plate</t>
  </si>
  <si>
    <t>Vibration plate</t>
  </si>
  <si>
    <t>fat loss, bone</t>
  </si>
  <si>
    <t>Some evidence for bone strength in older adults. The fat-loss claims have no support.</t>
  </si>
  <si>
    <t>Goal fat loss: Tier 2. Goal bone: Tier 3.</t>
  </si>
  <si>
    <t>unused for 30 days → Tier 2 (not being used). Goal fat loss → Tier 2 (tested, found nothing). Goal bone → Tier 3.</t>
  </si>
  <si>
    <t>For fat loss, no. For bone density in older adults, some evidence. Depends why you bought it.</t>
  </si>
  <si>
    <t>led-face-mask</t>
  </si>
  <si>
    <t>LED face mask</t>
  </si>
  <si>
    <t>skin</t>
  </si>
  <si>
    <t>Reasonable evidence that red and near-infrared light helps with wrinkles and acne if you use it consistently.</t>
  </si>
  <si>
    <t>Tier 3 with skin rating.</t>
  </si>
  <si>
    <t>unused for 30 days → Tier 2 (not being used). Otherwise Tier 3 with skin rating. Overlap group 'at-home skin devices'.</t>
  </si>
  <si>
    <t>Decent evidence and we can't see skin. A daily skin rating over eight weeks is the way.</t>
  </si>
  <si>
    <t>jaw-exerciser</t>
  </si>
  <si>
    <t>Jaw exerciser</t>
  </si>
  <si>
    <t>jawline</t>
  </si>
  <si>
    <t>No evidence. TMJ risk.</t>
  </si>
  <si>
    <t>Tier 2 (no way it could work) with safety note.</t>
  </si>
  <si>
    <t>Can cause jaw joint problems.</t>
  </si>
  <si>
    <t>No evidence it does what it claims, and dentists warn it can cause jaw problems. This one is safe to skip.</t>
  </si>
  <si>
    <t>TMJ risk. Look for: dental association statements on jaw exercisers.</t>
  </si>
  <si>
    <t>water-filter</t>
  </si>
  <si>
    <t>Water filter</t>
  </si>
  <si>
    <t>health</t>
  </si>
  <si>
    <t>Sensible if your tap water has known issues. Otherwise taste.</t>
  </si>
  <si>
    <t>There's nothing to test here. If your tap water has known problems, it's sensible. If not, it's about taste. Keep it.</t>
  </si>
  <si>
    <t>smart-lights-warm-dim-in-the-evening</t>
  </si>
  <si>
    <t>Bright evening light suppresses melatonin. Dimming helps your body clock.</t>
  </si>
  <si>
    <t>Tier 3 (effect too small, can run anyway).</t>
  </si>
  <si>
    <t>Dimming the lights helps, but the change is under one night's normal swing. That's about two thirds of one night's normal swing, so a two-week test would very likely come back inconclusive. We'll show you what the trials found and what it costs, and if you'd still like to run it, you can, knowing that going in.</t>
  </si>
  <si>
    <t>Evening light and melatonin. Look for: Gooley 2011.</t>
  </si>
  <si>
    <t>sauna-bathhouse-membership</t>
  </si>
  <si>
    <t>2–4x/week</t>
  </si>
  <si>
    <t>recovery, sleep, longevity</t>
  </si>
  <si>
    <t>Same evidence as sauna above. The membership just makes it a cost question.</t>
  </si>
  <si>
    <t>Tier 1 as sauna. Pre-purchase proxy: hot bath.</t>
  </si>
  <si>
    <t>Under 2 visits a month → Tier 2 (not being used). Otherwise Tier 1 as sauna. Overlap group 'heat and cold'.</t>
  </si>
  <si>
    <t>Testable, and $1,800 a year makes it worth testing.</t>
  </si>
  <si>
    <t>cryotherapy-sessions</t>
  </si>
  <si>
    <t>recovery, inflammation</t>
  </si>
  <si>
    <t>People feel more recovered afterwards, but the measured evidence for faster recovery is weak. Standing in a cold chamber has not been shown to beat an ordinary ice bath.</t>
  </si>
  <si>
    <t>No visits in 60 days but package unused → Tier 2 (not being used). Otherwise Tier 3 (effect too small, can run anyway). Overlap group 'heat and cold'.</t>
  </si>
  <si>
    <t>The overnight HRV change is small. That's about two fifths of one night's normal swing, so a two-week test would very likely come back inconclusive. We'll show you what the trials found and what it costs, and if you'd still like to run it, you can, knowing that going in.</t>
  </si>
  <si>
    <t>iv-vitamin-drips</t>
  </si>
  <si>
    <t>IV vitamin drips</t>
  </si>
  <si>
    <t>monthly</t>
  </si>
  <si>
    <t>energy, immunity, hangover</t>
  </si>
  <si>
    <t>No better than swallowing the same vitamins or drinking a glass of water, unless you're seriously dehydrated or can't absorb things through your gut.</t>
  </si>
  <si>
    <t>Any injection carries infection risk. Some clinics are poorly regulated.</t>
  </si>
  <si>
    <t>There's no version of this that beats a glass of water and a cheap multivitamin for someone who isn't in a hospital. $3,000 a year back.</t>
  </si>
  <si>
    <t>No benefit over oral for non-deficient people. Look for: any review of IV vitamin therapy in healthy adults; FDA warnings about compounding.</t>
  </si>
  <si>
    <t>massage-monthly</t>
  </si>
  <si>
    <t>Massage (monthly)</t>
  </si>
  <si>
    <t>recovery, stress</t>
  </si>
  <si>
    <t>Overnight HRV (acute)</t>
  </si>
  <si>
    <t>HRV up for a few hours; small by the next morning.</t>
  </si>
  <si>
    <t>Reliably makes people feel less stressed and less sore. HRV goes up for a while afterwards. There's no lasting physical effect.</t>
  </si>
  <si>
    <t>Tier 3 with stress rating. Optional Tier 1 on HRV that night.</t>
  </si>
  <si>
    <t>Credits banked and unused for 60 days → Tier 2 (not being used). Otherwise Tier 3 with stress rating. Overlap group 'massage'.</t>
  </si>
  <si>
    <t>It works on how you feel and that's a real outcome. We can also check whether your HRV notices that night, if you're curious.</t>
  </si>
  <si>
    <t>facials-monthly</t>
  </si>
  <si>
    <t>Facials (monthly)</t>
  </si>
  <si>
    <t>Skin looks and feels better for a short while. There's no lasting change.</t>
  </si>
  <si>
    <t>Tier 3 with skin rating; cost shown.</t>
  </si>
  <si>
    <t>No visit in 90 days but still paying → Tier 2 (not being used). Otherwise Tier 3 with skin rating. Overlap group 'professional skin treatments'.</t>
  </si>
  <si>
    <t>We can't see your skin and we won't pretend to. $1,800 a year, and a skin rating on the weeks with and without is the honest test.</t>
  </si>
  <si>
    <t>acupuncture</t>
  </si>
  <si>
    <t>Acupuncture</t>
  </si>
  <si>
    <t>pain, stress, sleep</t>
  </si>
  <si>
    <t>Sleep trials are weak.</t>
  </si>
  <si>
    <t>Modest evidence for chronic pain. Sleep trials are not very well run.</t>
  </si>
  <si>
    <t>Goal pain: Tier 3 rating. Goal sleep: Tier 1.</t>
  </si>
  <si>
    <t>No visit in 90 days → dropped from the count. Otherwise by goal.</t>
  </si>
  <si>
    <t>If it's for pain, a daily pain rating is the honest test, because a ring can't see pain. If it's for sleep, we can test that directly.</t>
  </si>
  <si>
    <t>chiropractor-maintenance-visits</t>
  </si>
  <si>
    <t>Chiropractor (maintenance visits)</t>
  </si>
  <si>
    <t>back, alignment</t>
  </si>
  <si>
    <t>For low back pain, about as good as other hands-on treatments. 'Maintenance' visits when nothing hurts have no evidence behind them.</t>
  </si>
  <si>
    <t>Tier 3 with pain rating. No current pain: verdict notes maintenance has no evidence.</t>
  </si>
  <si>
    <t>current pain: yes · no</t>
  </si>
  <si>
    <t>Visits with no current pain → Tier 3 with the 'maintenance has no evidence' note. Pain → Tier 3 with pain rating.</t>
  </si>
  <si>
    <t>If your back hurts, it's a reasonable option among several. If it doesn't, 'maintenance' isn't a thing the evidence recognises.</t>
  </si>
  <si>
    <t>physical-therapy</t>
  </si>
  <si>
    <t>Physical therapy</t>
  </si>
  <si>
    <t>injury</t>
  </si>
  <si>
    <t>Clinical care.</t>
  </si>
  <si>
    <t>Protected.</t>
  </si>
  <si>
    <t>Clinical, and not ours to rate. Keep going.</t>
  </si>
  <si>
    <t>therapy-counselling</t>
  </si>
  <si>
    <t>Therapy / counselling</t>
  </si>
  <si>
    <t>mental health</t>
  </si>
  <si>
    <t>Not a wellness item, and never put through the router.</t>
  </si>
  <si>
    <t>Protected. Counted in cost only if the user wants it counted.</t>
  </si>
  <si>
    <t>This isn't a habit and we'll never put a verdict on it. If you'd rather it didn't appear in the total at all, tap to hide it.</t>
  </si>
  <si>
    <t>personal-trainer</t>
  </si>
  <si>
    <t>Personal trainer</t>
  </si>
  <si>
    <t>Turning up, and getting pushed a bit harder each time. Strong evidence that this works, if you'd otherwise skip.</t>
  </si>
  <si>
    <t>Fewer than 2 sessions a month for two months → Tier 3 with cost per session (not a drop; the point is whether they go). Otherwise keep.</t>
  </si>
  <si>
    <t>Not something to test away. Keep.</t>
  </si>
  <si>
    <t>nutritionist-dietitian</t>
  </si>
  <si>
    <t>Nutritionist / dietitian</t>
  </si>
  <si>
    <t>diet</t>
  </si>
  <si>
    <t>Helps people actually stick to a plan. If it's for a medical condition, it's clinical care.</t>
  </si>
  <si>
    <t>Clinical territory. We stay out.</t>
  </si>
  <si>
    <t>gym-membership</t>
  </si>
  <si>
    <t>Gym membership</t>
  </si>
  <si>
    <t>Resting heart rate (trend)</t>
  </si>
  <si>
    <t>The only thing that varies is whether you go.</t>
  </si>
  <si>
    <t>Tier 3: verdict shows cost per visit from activity data.</t>
  </si>
  <si>
    <t>visits in the last 30 days; prefilled from check-ins or workouts where connected</t>
  </si>
  <si>
    <t>8+ visits a month → Tier 3 keep. 4 to 7 → Tier 3 with cost per visit. Under 4 for two months running → Tier 2 (not being used). Overlap group 'fitness memberships'.</t>
  </si>
  <si>
    <t>The only verdict here is cost per visit. We'll compute it from your activity data and let you look at it.</t>
  </si>
  <si>
    <t>yoga-pilates-studio</t>
  </si>
  <si>
    <t>Yoga / pilates studio</t>
  </si>
  <si>
    <t>fitness, stress</t>
  </si>
  <si>
    <t>As stretching / yoga.</t>
  </si>
  <si>
    <t>Decent evidence for stress and sleep. The question is the cost.</t>
  </si>
  <si>
    <t>Tier 3 keep. Optional Tier 1 on sleep.</t>
  </si>
  <si>
    <t>Under 4 visits a month for two months → Tier 2 (not being used). Otherwise Tier 3 keep. Overlap group 'fitness memberships'.</t>
  </si>
  <si>
    <t>Good for you, expensive, and the only question is whether you go. Keep if you do.</t>
  </si>
  <si>
    <t>float-tank</t>
  </si>
  <si>
    <t>stress, recovery</t>
  </si>
  <si>
    <t>Small trials for anxiety and relaxation.</t>
  </si>
  <si>
    <t>Tier 1 on HRV/sleep that night. Tier 3 stress rating.</t>
  </si>
  <si>
    <t>Package unused for 60 days → Tier 2 (not being used). Otherwise Tier 3.</t>
  </si>
  <si>
    <t>The overnight change is small. That's about two fifths of one night's normal swing, so a two-week test would very likely come back inconclusive. We'll show you what the trials found and what it costs, and if you'd still like to run it, you can, knowing that going in.</t>
  </si>
  <si>
    <t>hyperbaric-oxygen-wellness-use</t>
  </si>
  <si>
    <t>Hyperbaric oxygen (wellness use)</t>
  </si>
  <si>
    <t>recovery, longevity</t>
  </si>
  <si>
    <t>It's real medicine for specific conditions like diving injuries and certain wounds. There's no evidence it does anything for general wellness or living longer.</t>
  </si>
  <si>
    <t>Tier 2 unless prescribed (Protected).</t>
  </si>
  <si>
    <t>Real medicine for specific conditions, no evidence for wellness use. $3,600 a year that isn't buying what it says.</t>
  </si>
  <si>
    <t>Approved medical uses versus wellness claims. Look for: FDA list of cleared HBOT indications.</t>
  </si>
  <si>
    <t>lymphatic-drainage-massage</t>
  </si>
  <si>
    <t>Lymphatic drainage massage</t>
  </si>
  <si>
    <t>Your lymph system doesn't need 'draining'. The medical version is for people with a specific swelling condition. For everyone else it's a gentle massage.</t>
  </si>
  <si>
    <t>Tier 2 unless lymphoedema (Protected).</t>
  </si>
  <si>
    <t>It's a pleasant massage with a medical name attached. If you like the massage, keep it as a massage.</t>
  </si>
  <si>
    <t>Medical use is for lymphoedema only.</t>
  </si>
  <si>
    <t>colonic-detox-cleanse</t>
  </si>
  <si>
    <t>Colonic / detox cleanse</t>
  </si>
  <si>
    <t>detox</t>
  </si>
  <si>
    <t>There's nothing to detox. Your liver and kidneys do that. The risks include upsetting the body's salt balance and injuring the bowel.</t>
  </si>
  <si>
    <t>Colonics carry real risks.</t>
  </si>
  <si>
    <t>Your liver and kidneys already do this job. This one can go, and not just for the money.</t>
  </si>
  <si>
    <t>Risks. Look for: Mishori 2011 review of colon cleansing harms.</t>
  </si>
  <si>
    <t>consumer-dna-wellness-test</t>
  </si>
  <si>
    <t>Consumer DNA wellness test</t>
  </si>
  <si>
    <t>one-off, spread over 24 months</t>
  </si>
  <si>
    <t>personalised nutrition</t>
  </si>
  <si>
    <t>Trials that gave people diet advice based on their genes found it worked no better than ordinary advice.</t>
  </si>
  <si>
    <t>Tier 2 (one-off; note sunk cost gently).</t>
  </si>
  <si>
    <t>Already paid, so nothing to save. Just know that the diet advice it produced doesn't outperform ordinary advice in trials.</t>
  </si>
  <si>
    <t>Gene-based diet advice no better than generic. Look for: Celis-Morales 2017 (Food4Me); Gardner 2018 (DIETFITS).</t>
  </si>
  <si>
    <t>blood-panel-subscription-function-etc</t>
  </si>
  <si>
    <t>Blood panel subscription (Function etc.)</t>
  </si>
  <si>
    <t>biomarkers</t>
  </si>
  <si>
    <t>Genuinely useful for catching the things you might be low in: vitamin D, iron, B12. The 'longevity' framing is marketing.</t>
  </si>
  <si>
    <t>Tier 3 keep, especially if it resolves the vitamin D / B12 / iron questions.</t>
  </si>
  <si>
    <t>Annual physical with bloodwork also in the inventory → Tier 2 (overlaps with something else) unless the subscription tests something the physical doesn't. Overlap group 'bloodwork'.</t>
  </si>
  <si>
    <t>Actually useful for one thing: it answers the vitamin D, B12 and iron questions we can't. Keep it for that.</t>
  </si>
  <si>
    <t>hormone-peptide-clinic-trt-glp-1-peptides</t>
  </si>
  <si>
    <t>Hormone / peptide clinic (TRT, GLP-1, peptides)</t>
  </si>
  <si>
    <t>hormones, weight</t>
  </si>
  <si>
    <t>Medical treatment.</t>
  </si>
  <si>
    <t>Protected. Never routed.</t>
  </si>
  <si>
    <t>Medical. Not ours.</t>
  </si>
  <si>
    <t>sleep-coach-cbt-i</t>
  </si>
  <si>
    <t>Sleep coach (CBT-I)</t>
  </si>
  <si>
    <t>All sleep metrics</t>
  </si>
  <si>
    <t>CBT-I, a structured programme for insomnia, is the best-supported treatment for insomnia there is. A coach delivering it properly is worth a lot.</t>
  </si>
  <si>
    <t>Protected if CBT-I. Otherwise Tier 3.</t>
  </si>
  <si>
    <t>If this is CBT-I, it's the best-supported sleep intervention that exists. Keep.</t>
  </si>
  <si>
    <t>stretch-studio-assisted-stretching</t>
  </si>
  <si>
    <t>Stretch studio (assisted stretching)</t>
  </si>
  <si>
    <t>mobility</t>
  </si>
  <si>
    <t>It improves flexibility about as well as stretching at home. The question is the cost.</t>
  </si>
  <si>
    <t>Tier 3 with cost.</t>
  </si>
  <si>
    <t>Under 2 visits a month → Tier 2 (not being used). Otherwise Tier 3 with cost.</t>
  </si>
  <si>
    <t>It works as well as stretching at home. Whether the $150 buys you actually doing it is the real question.</t>
  </si>
  <si>
    <t>retreat-wellness-weekend</t>
  </si>
  <si>
    <t>Retreat / wellness weekend</t>
  </si>
  <si>
    <t>spread over 24 months</t>
  </si>
  <si>
    <t>reset</t>
  </si>
  <si>
    <t>Overnight HRV; sleep</t>
  </si>
  <si>
    <t>Rest works. The specific modalities usually don't add to it.</t>
  </si>
  <si>
    <t>The rest is what's doing the work. The specific treatments on the schedule rarely add much to it. Enjoy it for the rest.</t>
  </si>
  <si>
    <t>bedroom-temperature-thermostat</t>
  </si>
  <si>
    <t>Deep sleep; time awake during the night; share of time in bed actually asleep</t>
  </si>
  <si>
    <t>A cooler room, around 18 to 20°C (65 to 68°F), improves sleep for most people. The best temperature varies from person to person.</t>
  </si>
  <si>
    <t>Tier 1: on = current, off = 2°C cooler. The first environmental experiment we'd suggest.</t>
  </si>
  <si>
    <t>thermostat setting; wakes hot: yes · no</t>
  </si>
  <si>
    <t>Room over 21°C or wakes hot → expected effect 1.0, Tier 1. Otherwise Tier 3 (effect too small, can run anyway).</t>
  </si>
  <si>
    <t>Two degrees matters more if your room runs warm. That's about two thirds of one night's normal swing, so a two-week test would very likely come back inconclusive. We'll show you what the trials found and what it costs, and if you'd still like to run it, you can, knowing that going in.</t>
  </si>
  <si>
    <t>18 to 20°C range. Look for: Okamoto-Mizuno 2012 review.</t>
  </si>
  <si>
    <t>blackout-light-leak</t>
  </si>
  <si>
    <t>A 2022 trial found that even a dim light left on overnight raised people's heart rate during sleep and made their bodies handle sugar worse the next day.</t>
  </si>
  <si>
    <t>Tier 3 (effect too small, can run anyway). Overlap with eye mask: if both, keep one.</t>
  </si>
  <si>
    <t>Real darkness helps, by a small amount each night. That's about three fifths of one night's normal swing, so a two-week test would very likely come back inconclusive. We'll show you what the trials found and what it costs, and if you'd still like to run it, you can, knowing that going in.</t>
  </si>
  <si>
    <t>Dim light and heart rate / glucose. Look for: Mason 2022, PNAS.</t>
  </si>
  <si>
    <t>phone-charging-in-the-bedroom</t>
  </si>
  <si>
    <t>Proximity predicts use. Use predicts delay.</t>
  </si>
  <si>
    <t>Tier 1 (same experiment as screens in bed).</t>
  </si>
  <si>
    <t>Same experiment as screens in bed; routed together.</t>
  </si>
  <si>
    <t>See 'phone in bed'. Charging it in the kitchen is the whole experiment.</t>
  </si>
  <si>
    <t>pet-in-the-bed</t>
  </si>
  <si>
    <t>Studies using movement sensors found that a dog on the bed slightly reduces how much of the night you're actually asleep. A dog in the room makes no difference.</t>
  </si>
  <si>
    <t>Tier 1 (three nights in the room, not on the bed). Gentle framing.</t>
  </si>
  <si>
    <t>The measured difference is a couple of points on how much of the night you're asleep. That's about two fifths of one night's normal swing, so a two-week test would very likely come back inconclusive. We'll show you what the trials found and what it costs, and if you'd still like to run it, you can, knowing that going in.</t>
  </si>
  <si>
    <t>Movement-sensor study. Look for: Patel 2017, Mayo Clin Proc.</t>
  </si>
  <si>
    <t>partner-s-snoring-or-schedule</t>
  </si>
  <si>
    <t>Partner's snoring or schedule</t>
  </si>
  <si>
    <t>Can't be assigned; see earplugs.</t>
  </si>
  <si>
    <t>In some studies, a partner's snoring costs the other person up to an hour of sleep a night.</t>
  </si>
  <si>
    <t>Not routable as an experiment. Verdict: name it, suggest earplugs (Tier 1) or a conversation.</t>
  </si>
  <si>
    <t>We can't run an experiment on another person. But if the wake-ups line up with their snoring, that's worth knowing, and earplugs are a test you can run.</t>
  </si>
  <si>
    <t>kids-waking-you</t>
  </si>
  <si>
    <t>Kids waking you</t>
  </si>
  <si>
    <t>Not an experiment; those nights are excluded.</t>
  </si>
  <si>
    <t>Real, not something an app can fix, and the cause of most of your bad numbers.</t>
  </si>
  <si>
    <t>Verdict: exclude those nights from experiments. Never count as 'missed'.</t>
  </si>
  <si>
    <t>We'll mark those nights and keep them out of every experiment, so nothing you test gets blamed for a toddler.</t>
  </si>
  <si>
    <t>window-open-fan-at-night</t>
  </si>
  <si>
    <t>Deep sleep; time awake during the night</t>
  </si>
  <si>
    <t>A closed bedroom fills up with the carbon dioxide you breathe out. Small studies link higher overnight CO2 to worse sleep.</t>
  </si>
  <si>
    <t>The bedroom-CO2 studies are small. That's about two fifths of one night's normal swing, so a two-week test would very likely come back inconclusive. We'll show you what the trials found and what it costs, and if you'd still like to run it, you can, knowing that going in.</t>
  </si>
  <si>
    <t>mattress-age-over-8-years</t>
  </si>
  <si>
    <t>Mattress age (over 8 years)</t>
  </si>
  <si>
    <t>sleep, back</t>
  </si>
  <si>
    <t>Medium-firm mattresses help with back pain in trials. How old the mattress is matters less than whether it still supports you.</t>
  </si>
  <si>
    <t>Pre-purchase: no proxy. Verdict: use the retailer's 100-night trial as the experiment.</t>
  </si>
  <si>
    <t>We can't test a mattress you haven't bought. Most retailers give 100 nights; that's an experiment. Use it, and check your sleep data before the return window closes.</t>
  </si>
  <si>
    <t>pillow</t>
  </si>
  <si>
    <t>neck, sleep</t>
  </si>
  <si>
    <t>Neck alignment. Little sleep research.</t>
  </si>
  <si>
    <t>Tier 1 (new versus old).</t>
  </si>
  <si>
    <t>There's very little research, and no reason to expect a large change. That's about a fifth of one night's normal swing, so a two-week test would very likely come back inconclusive. We'll show you what the trials found and what it costs, and if you'd still like to run it, you can, knowing that going in.</t>
  </si>
  <si>
    <t>silk-pillowcase</t>
  </si>
  <si>
    <t>Silk pillowcase</t>
  </si>
  <si>
    <t>skin, hair</t>
  </si>
  <si>
    <t>No trials. It causes less friction on hair, which is plausible.</t>
  </si>
  <si>
    <t>Plausible for hair, untested, cheap. Not worth an experiment or a worry.</t>
  </si>
  <si>
    <t>candles-incense-in-the-bedroom</t>
  </si>
  <si>
    <t>Candles / incense in the bedroom</t>
  </si>
  <si>
    <t>calm</t>
  </si>
  <si>
    <t>Burning anything puts fine particles into the air. The calming effect is real.</t>
  </si>
  <si>
    <t>Tier 3. Note ventilation.</t>
  </si>
  <si>
    <t>The calm is real and so is the smoke. Blow it out before you sleep and keep it.</t>
  </si>
  <si>
    <t>bedroom-used-for-work</t>
  </si>
  <si>
    <t>The bed-means-sleep rule: if your brain associates the bed with work, it takes longer to switch off there.</t>
  </si>
  <si>
    <t>Tier 1 if feasible.</t>
  </si>
  <si>
    <t>This one is real but hard to switch on and off, and the effect is modest. That's about half of one night's normal swing, so a two-week test would very likely come back inconclusive. We'll show you what the trials found and what it costs, and if you'd still like to run it, you can, knowing that going in.</t>
  </si>
  <si>
    <t>separate-bedrooms-some-nights</t>
  </si>
  <si>
    <t>Measured sleep is often better apart. How well people feel they slept, and how happy they are, is often better together.</t>
  </si>
  <si>
    <t>Tier 1, offered only if the user raises it.</t>
  </si>
  <si>
    <t>The measured difference is about ten minutes, and it varies a lot. That's about two thirds of one night's normal swing, so a two-week test would very likely come back inconclusive. We'll show you what the trials found and what it costs, and if you'd still like to run it, you can, knowing that going in.</t>
  </si>
  <si>
    <t>premium-gym-membership-equinox-life-time</t>
  </si>
  <si>
    <t>Premium gym membership (Equinox, Life Time)</t>
  </si>
  <si>
    <t>fitness, looking good</t>
  </si>
  <si>
    <t>The only thing that varies is whether you go. Twice a week or more is worth almost any price. Less than that, and it's the most expensive habit you don't have.</t>
  </si>
  <si>
    <t>8+ visits a month: keep. 4 to 7: cost per visit shown. Under 4 for two months: Tier 2 (not being used).</t>
  </si>
  <si>
    <t>You went 3 times last month. That's $83 a visit. Nobody's saying cancel. We're saying that's the number, and it's yours to decide what it's worth.</t>
  </si>
  <si>
    <t>boutique-class-membership-barry-s-soulcycle-f45-orangetheory</t>
  </si>
  <si>
    <t>Boutique class membership (Barry's, SoulCycle, F45, Orangetheory)</t>
  </si>
  <si>
    <t>Same as any gym: it works if you go. Class formats have better attendance than open gyms, which is the honest case for paying more.</t>
  </si>
  <si>
    <t>Same visit thresholds as gym. Overlap group 'fitness memberships'.</t>
  </si>
  <si>
    <t>Classes get people through the door more reliably than a gym floor does, which is the real reason to pay for them. If you're going, keep. If you're not, the number is $200 a month for a good intention.</t>
  </si>
  <si>
    <t>second-gym-or-studio-membership</t>
  </si>
  <si>
    <t>Second gym or studio membership</t>
  </si>
  <si>
    <t>Nobody needs two. The one you go to is the one to keep.</t>
  </si>
  <si>
    <t>Overlap group 'fitness memberships': the one with fewer visits in 30 days is the drop.</t>
  </si>
  <si>
    <t>You've got two memberships and last month you used one of them. Keep that one. $150 a month back, and nothing about your training changes.</t>
  </si>
  <si>
    <t>Confirm the evidence claim in the 'what the studies found' column against one independent source.</t>
  </si>
  <si>
    <t>class-pack-or-studio-credits</t>
  </si>
  <si>
    <t>Class pack or studio credits</t>
  </si>
  <si>
    <t>credits or class packs, price spread over 24 months</t>
  </si>
  <si>
    <t>Unused credits are the most common wellness purchase that quietly does nothing.</t>
  </si>
  <si>
    <t>last used over 60 days ago: Tier 2 (not being used). Used this month: Tier 3 keep.</t>
  </si>
  <si>
    <t>There are 7 credits on that pack and the last one was used in June. If they expire, that's money gone; if they don't, book them before buying anything else. Either way this comes off the count.</t>
  </si>
  <si>
    <t>fitness-app-subscription-peloton-app-apple-fitness-ladder</t>
  </si>
  <si>
    <t>Fitness app subscription (Peloton app, Apple Fitness+, Ladder)</t>
  </si>
  <si>
    <t>Works for people who use it. Most subscriptions outlive the habit by months.</t>
  </si>
  <si>
    <t>last used over 30 days ago AND still paying: Tier 2 (not being used). Otherwise Tier 3 keep. Overlap group 'fitness memberships'.</t>
  </si>
  <si>
    <t>Last opened six weeks ago and still billing. $25 a month back, and you can always resubscribe the week you actually want it.</t>
  </si>
  <si>
    <t>recovery-studio-membership-restore-remedy-place-othership</t>
  </si>
  <si>
    <t>Recovery studio membership (Restore, Remedy Place, Othership)</t>
  </si>
  <si>
    <t>Sauna and cold are testable; the compression, IV and cryo add-ons are not, and mostly not supported. The evidence is the sauna's and the plunge's.</t>
  </si>
  <si>
    <t>Under 3 visits a month: Tier 2 (not being used). Owns a sauna or plunge: Tier 2 (overlaps with something else). Otherwise Tier 1 as sauna / cold plunge for the parts a wearable can see.</t>
  </si>
  <si>
    <t>The sauna and the plunge in there are testable, and worth testing. The rest of the menu mostly isn't. If you're going twice a week, we'll test what we can. If you went once last month, that's $250 for one visit.</t>
  </si>
  <si>
    <t>sauna-or-cold-plunge-studio-when-you-own-one-at-home</t>
  </si>
  <si>
    <t>Sauna or cold-plunge studio when you own one at home</t>
  </si>
  <si>
    <t>The one at home does the same thing.</t>
  </si>
  <si>
    <t>Overlap group 'heat and cold'.</t>
  </si>
  <si>
    <t>You've got a plunge in the garage and a studio membership for the same thing. The garage one is free from here. $150 a month back.</t>
  </si>
  <si>
    <t>massage-membership-massage-envy-squeeze</t>
  </si>
  <si>
    <t>Massage membership (Massage Envy, Squeeze)</t>
  </si>
  <si>
    <t>Massage reliably makes people feel better. Memberships reliably bank credits nobody uses.</t>
  </si>
  <si>
    <t>Credits banked and unused for 60 days: Tier 2 (not being used). Otherwise Tier 3 with stress rating. Overlap group 'massage'.</t>
  </si>
  <si>
    <t>Three credits banked and the last visit was in July. Use them, or stop the billing until you will. Massage isn't the problem; the auto-renew is.</t>
  </si>
  <si>
    <t>meal-delivery-or-meal-prep-service</t>
  </si>
  <si>
    <t>Meal delivery or meal-prep service</t>
  </si>
  <si>
    <t>diet, convenience</t>
  </si>
  <si>
    <t>Works if the food gets eaten. A freezer full of unopened deliveries is the tell.</t>
  </si>
  <si>
    <t>still paying AND meals skipped or thrown out most weeks: Tier 2 (not being used). Otherwise Tier 3 keep.</t>
  </si>
  <si>
    <t>If most of it gets eaten, this is a fine way to spend $400. If half of it goes in the bin, that's $200 a month on food you didn't want. You'd know which.</t>
  </si>
  <si>
    <t>nutrition-or-calorie-app-premium</t>
  </si>
  <si>
    <t>Nutrition or calorie app (premium)</t>
  </si>
  <si>
    <t>Logging works while people log. Most premium subscriptions outlast the logging by months.</t>
  </si>
  <si>
    <t>last opened over 30 days ago AND still paying: Tier 2 (not being used).</t>
  </si>
  <si>
    <t>Last opened in August, still billing. $15 a month back until the week you want it again.</t>
  </si>
  <si>
    <t>second-meditation-or-sleep-app</t>
  </si>
  <si>
    <t>Second meditation or sleep app</t>
  </si>
  <si>
    <t>stress, sleep</t>
  </si>
  <si>
    <t>Two apps for the same ten minutes.</t>
  </si>
  <si>
    <t>Overlap group 'meditation apps': the one opened less is the drop.</t>
  </si>
  <si>
    <t>Two subscriptions for the same ten minutes a day. Keep the one you actually open. $15 a month back.</t>
  </si>
  <si>
    <t>annual-physical-with-bloodwork</t>
  </si>
  <si>
    <t>Annual physical with bloodwork</t>
  </si>
  <si>
    <t>yearly</t>
  </si>
  <si>
    <t>health check</t>
  </si>
  <si>
    <t>Standard care. Covers most of what a subscription blood panel covers.</t>
  </si>
  <si>
    <t>Protected. Overlap group 'bloodwork' (the subscription is the one that gets checked, not this).</t>
  </si>
  <si>
    <t>Standard care. Not ours to rate.</t>
  </si>
  <si>
    <t>electrolytes-plus-sports-drink</t>
  </si>
  <si>
    <t>Electrolytes plus sports drink</t>
  </si>
  <si>
    <t>hydration</t>
  </si>
  <si>
    <t>Two sources of the same salts and sugar.</t>
  </si>
  <si>
    <t>Overlap group 'electrolytes': the sports drink is the drop.</t>
  </si>
  <si>
    <t>You're buying salt and sugar twice. Keep the packets if you sweat hard; the sports drink is the same thing with more sugar. $40 a month back.</t>
  </si>
  <si>
    <t>collagen-drinks-and-beauty-gummies</t>
  </si>
  <si>
    <t>Collagen drinks and beauty gummies</t>
  </si>
  <si>
    <t>usually 1 to 2.5 g collagen per serving</t>
  </si>
  <si>
    <t>≥10 g collagen a day</t>
  </si>
  <si>
    <t>Same ingredient as collagen powder at a fraction of the dose and several times the price per gram.</t>
  </si>
  <si>
    <t>Dose under 5 g a day: Tier 2 (dose too low), which is nearly every drink and gummy. Overlap group 'collagen'.</t>
  </si>
  <si>
    <t>There's about 2 g of collagen in each of these. The trials that found anything used 10. Same ingredient as the powder, one fifth of the dose, twice the price. $40 a month back.</t>
  </si>
  <si>
    <t>hair-growth-gummies-biotin-blends</t>
  </si>
  <si>
    <t>Hair growth gummies (biotin blends)</t>
  </si>
  <si>
    <t>hair</t>
  </si>
  <si>
    <t>Biotin, plus a multivitamin's worth of everything else. No hair effect without a deficiency, and deficiency is rare.</t>
  </si>
  <si>
    <t>Tier 2 (tested, found nothing). Overlap group 'daily multivitamin'. Safety note as biotin.</t>
  </si>
  <si>
    <t>Tell your doctor you take biotin before any blood test.</t>
  </si>
  <si>
    <t>Unless you're deficient, which almost nobody is, these don't grow hair. And the biotin in them can throw off blood tests. $30 a month back.</t>
  </si>
  <si>
    <t>sunscreen-daily-spf-30</t>
  </si>
  <si>
    <t>Sunscreen (daily SPF 30+)</t>
  </si>
  <si>
    <t>every morning</t>
  </si>
  <si>
    <t>skin, looking good</t>
  </si>
  <si>
    <t>The single best-supported skincare product there is for wrinkles and skin cancer. Nothing else on the shelf comes close.</t>
  </si>
  <si>
    <t>Tier 3 keep. Never routed for dropping.</t>
  </si>
  <si>
    <t>If you only keep one thing on this list, keep this one. A ring can't see it, and it doesn't matter; the evidence is as strong as evidence gets.</t>
  </si>
  <si>
    <t>retinol-retinoid-nightly</t>
  </si>
  <si>
    <t>Retinol / retinoid (nightly)</t>
  </si>
  <si>
    <t>nightly or alternate nights</t>
  </si>
  <si>
    <t>wrinkles, acne, texture</t>
  </si>
  <si>
    <t>The best-supported active for wrinkles and acne. Prescription tretinoin is stronger than over-the-counter retinol; both work with consistent use over months.</t>
  </si>
  <si>
    <t>Tier 3 keep, with skin rating. Prescription: Protected. Overlap group 'exfoliants' if paired with an acid on the same night.</t>
  </si>
  <si>
    <t>Not in pregnancy. Sun protection is required alongside.</t>
  </si>
  <si>
    <t>Well proven, and we can't see it, so a weekly skin rating is the honest way to watch it. Keep.</t>
  </si>
  <si>
    <t>vitamin-c-serum</t>
  </si>
  <si>
    <t>Vitamin C serum</t>
  </si>
  <si>
    <t>morning</t>
  </si>
  <si>
    <t>brightness, wrinkles</t>
  </si>
  <si>
    <t>form matters: L-ascorbic acid 10 to 20% in air-tight, opaque packaging</t>
  </si>
  <si>
    <t>Decent evidence for L-ascorbic acid at 10 to 20% in the right packaging. Cheaper 'vitamin C' products using unstable forms or clear bottles have mostly oxidised before they reach your face.</t>
  </si>
  <si>
    <t>form = L-ascorbic acid 10 to 20% in opaque packaging: Tier 3 with skin rating. form = other or unknown, or the product has turned orange: Tier 2 (form not absorbed).</t>
  </si>
  <si>
    <t>If the bottle is clear or the serum has gone orange, the vitamin C is already gone. If it's a proper L-ascorbic acid formula, keep it and rate your skin weekly. That's $60 a month riding on the packaging.</t>
  </si>
  <si>
    <t>retinol-or-retinoid-plus-exfoliating-acid-on-the-same-nights</t>
  </si>
  <si>
    <t>Retinol or retinoid plus exfoliating acid on the same nights</t>
  </si>
  <si>
    <t>same-night use</t>
  </si>
  <si>
    <t>texture, acne</t>
  </si>
  <si>
    <t>Using both on the same night adds irritation, not results. Alternating nights gives the same benefit with less redness.</t>
  </si>
  <si>
    <t>Overlap group 'exfoliants'. Same-night use: Tier 2 (overlaps with something else): alternate nights, or drop the acid.</t>
  </si>
  <si>
    <t>These two on the same night are fighting each other, and your skin is where the fight happens. Alternate nights and you get the same result with less redness. If you'd rather simplify, the acid is the one to drop.</t>
  </si>
  <si>
    <t>two-exfoliants-scrub-plus-acid-or-two-acids</t>
  </si>
  <si>
    <t>Two exfoliants (scrub plus acid, or two acids)</t>
  </si>
  <si>
    <t>texture</t>
  </si>
  <si>
    <t>One exfoliant is enough. Two is irritation.</t>
  </si>
  <si>
    <t>Overlap group 'exfoliants'.</t>
  </si>
  <si>
    <t>One of these is doing the job and the other is doing damage. Keep the acid, drop the scrub. $25 a month back and calmer skin.</t>
  </si>
  <si>
    <t>toner-hydrating-or-balancing</t>
  </si>
  <si>
    <t>Toner (hydrating or balancing)</t>
  </si>
  <si>
    <t>hydration, 'balance'</t>
  </si>
  <si>
    <t>Modern cleansers don't leave skin needing 'rebalancing'. A hydrating toner does what the serum after it already does.</t>
  </si>
  <si>
    <t>Overlap group 'hydrating layers': with a serum and a moisturiser in the routine, the toner is the drop.</t>
  </si>
  <si>
    <t>This step made sense with the harsh soaps of forty years ago. With a gentle cleanser and a serum, it's doing the serum's job for a second time. $25 a month back and one fewer bottle.</t>
  </si>
  <si>
    <t>multiple-hydrating-serums-two-hyaluronic-acid-products</t>
  </si>
  <si>
    <t>Multiple hydrating serums (two hyaluronic acid products)</t>
  </si>
  <si>
    <t>One hyaluronic acid product hydrates. A second one is the same ingredient again.</t>
  </si>
  <si>
    <t>Overlap group 'hydrating layers'.</t>
  </si>
  <si>
    <t>Two bottles of the same ingredient. Keep the one you like the feel of. $50 a month back.</t>
  </si>
  <si>
    <t>eye-cream-when-you-already-use-a-moisturiser</t>
  </si>
  <si>
    <t>Eye cream (when you already use a moisturiser)</t>
  </si>
  <si>
    <t>under-eye</t>
  </si>
  <si>
    <t>Most eye creams are the same formula as the brand's moisturiser in a smaller jar at a higher price per gram. The exceptions contain something the moisturiser doesn't (caffeine, retinol).</t>
  </si>
  <si>
    <t>Overlap group 'hydrating layers'. Contains an active the moisturiser lacks: Tier 3. Otherwise Tier 2 (overlaps with something else).</t>
  </si>
  <si>
    <t>Read both labels. If the eye cream has an ingredient your moisturiser doesn't, keep it. If it's the same list in a smaller jar, that's $45 a month for the jar.</t>
  </si>
  <si>
    <t>facial-plus-at-home-led-plus-microcurrent-all-three</t>
  </si>
  <si>
    <t>Facial plus at-home LED plus microcurrent (all three)</t>
  </si>
  <si>
    <t>The LED has some evidence. The facial is short-term. Microcurrent has almost none. Running all three is paying three times for one visible result.</t>
  </si>
  <si>
    <t>Overlap group 'professional skin treatments'. Devices unused in 30 days: Tier 2 (not being used). All in use: shown together with total cost; the person picks one.</t>
  </si>
  <si>
    <t>Three things, one face, and only the LED has real evidence behind it. Pick one. If it's the facials, that's fine; just know the devices are then in a drawer costing $60 a month between them.</t>
  </si>
  <si>
    <t>microcurrent-device-nuface</t>
  </si>
  <si>
    <t>Microcurrent device (NuFace)</t>
  </si>
  <si>
    <t>firmness</t>
  </si>
  <si>
    <t>Almost no independent evidence. Any lift is temporary.</t>
  </si>
  <si>
    <t>last used over 30 days ago: Tier 2 (not being used). Otherwise Tier 3 with skin rating. Overlap group 'at-home skin devices'.</t>
  </si>
  <si>
    <t>Any lift from this is temporary, and the studies are the company's. If you use it and like it, that's a real reason. If it's in a drawer, it comes off the count.</t>
  </si>
  <si>
    <t>gua-sha-ice-roller</t>
  </si>
  <si>
    <t>Gua sha / ice roller</t>
  </si>
  <si>
    <t>de-puffing</t>
  </si>
  <si>
    <t>Temporary de-puffing, which is real and lasts hours. Nothing lasting.</t>
  </si>
  <si>
    <t>Tier 3, free and harmless. Overlap group 'at-home skin devices'.</t>
  </si>
  <si>
    <t>Costs nothing, feels nice, and the de-puffing is real for a few hours. Keep it if it's yours.</t>
  </si>
  <si>
    <t>cold-plunge-ice-bath-tub-owned</t>
  </si>
  <si>
    <t>Cold plunge / ice bath tub (owned)</t>
  </si>
  <si>
    <t>As cold plunge.</t>
  </si>
  <si>
    <t>last used over 30 days ago: Tier 2 (not being used). Otherwise as cold plunge (effect too small, can run anyway). Overlap group 'heat and cold'.</t>
  </si>
  <si>
    <t>unused for 30 days → Tier 2 (not being used). Otherwise as cold plunge.</t>
  </si>
  <si>
    <t>It's in the garage. When did you last get in it? If the answer is 'a while', that's the verdict, and no experiment is needed.</t>
  </si>
  <si>
    <t>unlisted-device-you-haven-t-used-in-30-days</t>
  </si>
  <si>
    <t>Unlisted device you haven't used in 30 days</t>
  </si>
  <si>
    <t>The graveyard row. Anything typed in that isn't in the table and hasn't been used in a month.</t>
  </si>
  <si>
    <t>last used over 30 days ago: Tier 2 (not being used). Otherwise Tier 3, untested.</t>
  </si>
  <si>
    <t>You bought it, you tried it, and it's been in a drawer since spring. That's a verdict you reached on your own. It comes off the count, and if it has a resale value, that's the only number left.</t>
  </si>
  <si>
    <t>unlisted-subscription-you-re-still-paying-for</t>
  </si>
  <si>
    <t>Unlisted subscription you're still paying for</t>
  </si>
  <si>
    <t>The auto-renew row. Anything billing monthly that the person hasn't used in 30 days.</t>
  </si>
  <si>
    <t>still paying AND last used over 30 days ago: Tier 2 (not being used).</t>
  </si>
  <si>
    <t>Still billing, last used over a month ago. That's the whole verdict. Cancel it, and resubscribe the week you want it back.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</si>
</sst>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
    <numFmt numFmtId="166" formatCode="0.0%"/>
  </numFmts>
  <fonts count="11">
    <font>
      <sz val="11.0"/>
      <color theme="1"/>
      <name val="Calibri"/>
      <scheme val="minor"/>
    </font>
    <font>
      <b/>
      <sz val="18.0"/>
      <color rgb="FF17201D"/>
      <name val="Arial"/>
    </font>
    <font>
      <i/>
      <sz val="10.0"/>
      <color rgb="FF5F6B66"/>
      <name val="Arial"/>
    </font>
    <font>
      <b/>
      <sz val="13.0"/>
      <color rgb="FF17201D"/>
      <name val="Arial"/>
    </font>
    <font>
      <sz val="10.0"/>
      <color rgb="FF17201D"/>
      <name val="Arial"/>
    </font>
    <font>
      <b/>
      <sz val="10.0"/>
      <color rgb="FF17201D"/>
      <name val="Arial"/>
    </font>
    <font>
      <b/>
      <sz val="10.0"/>
      <color rgb="FFFFFFFF"/>
      <name val="Arial"/>
    </font>
    <font>
      <sz val="9.0"/>
      <color rgb="FF5F6B66"/>
      <name val="Arial"/>
    </font>
    <font>
      <sz val="9.0"/>
      <color rgb="FF17201D"/>
      <name val="Arial"/>
    </font>
    <font>
      <b/>
      <sz val="9.0"/>
      <color rgb="FF17201D"/>
      <name val="Arial"/>
    </font>
    <font>
      <b/>
      <sz val="14.0"/>
      <color rgb="FF17201D"/>
      <name val="Arial"/>
    </font>
  </fonts>
  <fills count="3">
    <fill>
      <patternFill patternType="none"/>
    </fill>
    <fill>
      <patternFill patternType="lightGray"/>
    </fill>
    <fill>
      <patternFill patternType="solid">
        <fgColor rgb="FF17201D"/>
        <bgColor rgb="FF17201D"/>
      </patternFill>
    </fill>
  </fills>
  <borders count="3">
    <border/>
    <border>
      <left/>
      <right/>
      <top/>
      <bottom/>
    </border>
    <border>
      <bottom style="thin">
        <color rgb="FFD3D8D3"/>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center" wrapText="1"/>
    </xf>
    <xf borderId="2" fillId="0" fontId="7" numFmtId="0" xfId="0" applyAlignment="1" applyBorder="1" applyFont="1">
      <alignment shrinkToFit="0" vertical="top" wrapText="1"/>
    </xf>
    <xf borderId="2" fillId="0" fontId="8" numFmtId="0" xfId="0" applyAlignment="1" applyBorder="1" applyFont="1">
      <alignment shrinkToFit="0" vertical="top" wrapText="1"/>
    </xf>
    <xf borderId="2" fillId="0" fontId="9" numFmtId="0" xfId="0" applyAlignment="1" applyBorder="1" applyFont="1">
      <alignment shrinkToFit="0" vertical="top" wrapText="1"/>
    </xf>
    <xf borderId="2" fillId="0" fontId="8" numFmtId="164" xfId="0" applyAlignment="1" applyBorder="1" applyFont="1" applyNumberFormat="1">
      <alignment shrinkToFit="0" vertical="top" wrapText="1"/>
    </xf>
    <xf borderId="2" fillId="0" fontId="8" numFmtId="165" xfId="0" applyAlignment="1" applyBorder="1" applyFont="1" applyNumberFormat="1">
      <alignment shrinkToFit="0" vertical="top" wrapText="1"/>
    </xf>
    <xf borderId="0" fillId="0" fontId="10" numFmtId="0" xfId="0" applyFont="1"/>
    <xf borderId="2" fillId="0" fontId="5" numFmtId="0" xfId="0" applyAlignment="1" applyBorder="1" applyFont="1">
      <alignment shrinkToFit="0" vertical="top" wrapText="1"/>
    </xf>
    <xf borderId="2" fillId="0" fontId="4" numFmtId="0" xfId="0" applyAlignment="1" applyBorder="1" applyFont="1">
      <alignment shrinkToFit="0" vertical="top" wrapText="1"/>
    </xf>
    <xf borderId="0" fillId="0" fontId="5" numFmtId="0" xfId="0" applyFont="1"/>
    <xf borderId="0" fillId="0" fontId="4" numFmtId="0" xfId="0" applyAlignment="1" applyFont="1">
      <alignment shrinkToFit="0" wrapText="1"/>
    </xf>
    <xf borderId="0" fillId="0" fontId="4" numFmtId="0" xfId="0" applyFont="1"/>
    <xf borderId="0" fillId="0" fontId="4" numFmtId="166" xfId="0" applyFont="1" applyNumberFormat="1"/>
    <xf borderId="0" fillId="0" fontId="4" numFmtId="164" xfId="0" applyFont="1" applyNumberFormat="1"/>
    <xf borderId="0" fillId="0" fontId="5" numFmtId="164" xfId="0" applyFont="1" applyNumberFormat="1"/>
    <xf borderId="0" fillId="0" fontId="2" numFmtId="0" xfId="0" applyAlignment="1" applyFont="1">
      <alignment shrinkToFit="0" wrapText="1"/>
    </xf>
  </cellXfs>
  <cellStyles count="1">
    <cellStyle xfId="0" name="Normal" builtinId="0"/>
  </cellStyles>
  <dxfs count="4">
    <dxf>
      <font/>
      <fill>
        <patternFill patternType="solid">
          <fgColor rgb="FFDDE8DF"/>
          <bgColor rgb="FFDDE8DF"/>
        </patternFill>
      </fill>
      <border/>
    </dxf>
    <dxf>
      <font/>
      <fill>
        <patternFill patternType="solid">
          <fgColor rgb="FFF3E1DE"/>
          <bgColor rgb="FFF3E1DE"/>
        </patternFill>
      </fill>
      <border/>
    </dxf>
    <dxf>
      <font/>
      <fill>
        <patternFill patternType="solid">
          <fgColor rgb="FFEEEDE6"/>
          <bgColor rgb="FFEEEDE6"/>
        </patternFill>
      </fill>
      <border/>
    </dxf>
    <dxf>
      <font/>
      <fill>
        <patternFill patternType="solid">
          <fgColor rgb="FFE1E5EC"/>
          <bgColor rgb="FFE1E5E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0"/>
    <col customWidth="1" min="3" max="26" width="8.71"/>
  </cols>
  <sheetData>
    <row r="1">
      <c r="A1" s="1" t="s">
        <v>0</v>
      </c>
    </row>
    <row r="2">
      <c r="A2" s="2" t="s">
        <v>1</v>
      </c>
    </row>
    <row r="4">
      <c r="A4" s="3" t="s">
        <v>2</v>
      </c>
    </row>
    <row r="5">
      <c r="A5" s="4" t="s">
        <v>3</v>
      </c>
    </row>
    <row r="6">
      <c r="A6" s="4" t="s">
        <v>4</v>
      </c>
    </row>
    <row r="7">
      <c r="A7" s="4" t="s">
        <v>5</v>
      </c>
    </row>
    <row r="9">
      <c r="A9" s="3" t="s">
        <v>6</v>
      </c>
    </row>
    <row r="10">
      <c r="A10" s="5" t="s">
        <v>7</v>
      </c>
      <c r="B10" s="4" t="s">
        <v>8</v>
      </c>
    </row>
    <row r="11">
      <c r="A11" s="5" t="s">
        <v>9</v>
      </c>
      <c r="B11" s="4" t="s">
        <v>10</v>
      </c>
    </row>
    <row r="12">
      <c r="A12" s="5" t="s">
        <v>11</v>
      </c>
      <c r="B12" s="4" t="s">
        <v>12</v>
      </c>
    </row>
    <row r="13">
      <c r="A13" s="5" t="s">
        <v>13</v>
      </c>
      <c r="B13" s="4" t="s">
        <v>14</v>
      </c>
    </row>
    <row r="14">
      <c r="A14" s="5" t="s">
        <v>15</v>
      </c>
      <c r="B14" s="4" t="s">
        <v>16</v>
      </c>
    </row>
    <row r="15">
      <c r="A15" s="5" t="s">
        <v>17</v>
      </c>
      <c r="B15" s="4" t="s">
        <v>18</v>
      </c>
    </row>
    <row r="17">
      <c r="A17" s="3" t="s">
        <v>19</v>
      </c>
    </row>
    <row r="18">
      <c r="A18" s="5" t="s">
        <v>20</v>
      </c>
      <c r="B18" s="4" t="s">
        <v>21</v>
      </c>
    </row>
    <row r="19">
      <c r="A19" s="5" t="s">
        <v>22</v>
      </c>
      <c r="B19" s="4" t="s">
        <v>23</v>
      </c>
    </row>
    <row r="20">
      <c r="A20" s="5" t="s">
        <v>24</v>
      </c>
      <c r="B20" s="4" t="s">
        <v>25</v>
      </c>
    </row>
    <row r="21" ht="15.75" customHeight="1">
      <c r="A21" s="5" t="s">
        <v>26</v>
      </c>
      <c r="B21" s="4" t="s">
        <v>27</v>
      </c>
    </row>
    <row r="22" ht="15.75" customHeight="1">
      <c r="A22" s="5" t="s">
        <v>28</v>
      </c>
      <c r="B22" s="4" t="s">
        <v>29</v>
      </c>
    </row>
    <row r="23" ht="15.75" customHeight="1">
      <c r="A23" s="5" t="s">
        <v>30</v>
      </c>
      <c r="B23" s="4" t="s">
        <v>31</v>
      </c>
    </row>
    <row r="24" ht="15.75" customHeight="1"/>
    <row r="25" ht="15.75" customHeight="1">
      <c r="A25" s="3" t="s">
        <v>32</v>
      </c>
    </row>
    <row r="26" ht="15.75" customHeight="1">
      <c r="A26" s="5" t="s">
        <v>33</v>
      </c>
      <c r="B26" s="4" t="s">
        <v>34</v>
      </c>
    </row>
    <row r="27" ht="15.75" customHeight="1">
      <c r="A27" s="5" t="s">
        <v>35</v>
      </c>
      <c r="B27" s="4" t="s">
        <v>36</v>
      </c>
    </row>
    <row r="28" ht="15.75" customHeight="1">
      <c r="A28" s="5" t="s">
        <v>37</v>
      </c>
      <c r="B28" s="4" t="s">
        <v>38</v>
      </c>
    </row>
    <row r="29" ht="15.75" customHeight="1">
      <c r="A29" s="5" t="s">
        <v>39</v>
      </c>
      <c r="B29" s="4" t="s">
        <v>40</v>
      </c>
    </row>
    <row r="30" ht="15.75" customHeight="1"/>
    <row r="31" ht="15.75" customHeight="1">
      <c r="A31" s="3" t="s">
        <v>41</v>
      </c>
    </row>
    <row r="32" ht="15.75" customHeight="1">
      <c r="A32" s="5" t="s">
        <v>42</v>
      </c>
      <c r="B32" s="4" t="s">
        <v>43</v>
      </c>
    </row>
    <row r="33" ht="15.75" customHeight="1">
      <c r="A33" s="5" t="s">
        <v>44</v>
      </c>
      <c r="B33" s="4" t="s">
        <v>45</v>
      </c>
    </row>
    <row r="34" ht="15.75" customHeight="1">
      <c r="A34" s="5" t="s">
        <v>46</v>
      </c>
      <c r="B34" s="4" t="s">
        <v>47</v>
      </c>
    </row>
    <row r="35" ht="15.75" customHeight="1">
      <c r="A35" s="5" t="s">
        <v>48</v>
      </c>
      <c r="B35" s="4" t="s">
        <v>49</v>
      </c>
    </row>
    <row r="36" ht="15.75" customHeight="1">
      <c r="A36" s="5" t="s">
        <v>50</v>
      </c>
      <c r="B36" s="4" t="s">
        <v>51</v>
      </c>
    </row>
    <row r="37" ht="15.75" customHeight="1">
      <c r="A37" s="5" t="s">
        <v>52</v>
      </c>
      <c r="B37" s="4" t="s">
        <v>53</v>
      </c>
    </row>
    <row r="38" ht="15.75" customHeight="1">
      <c r="A38" s="5" t="s">
        <v>54</v>
      </c>
      <c r="B38" s="4" t="s">
        <v>55</v>
      </c>
    </row>
    <row r="39" ht="15.75" customHeight="1">
      <c r="A39" s="5" t="s">
        <v>56</v>
      </c>
      <c r="B39" s="4" t="s">
        <v>57</v>
      </c>
    </row>
    <row r="40" ht="15.75" customHeight="1"/>
    <row r="41" ht="15.75" customHeight="1">
      <c r="A41" s="3" t="s">
        <v>58</v>
      </c>
    </row>
    <row r="42" ht="15.75" customHeight="1">
      <c r="A42" s="4" t="s">
        <v>59</v>
      </c>
    </row>
    <row r="43" ht="15.75" customHeight="1"/>
    <row r="44" ht="15.75" customHeight="1">
      <c r="A44" s="3" t="s">
        <v>60</v>
      </c>
    </row>
    <row r="45" ht="15.75" customHeight="1">
      <c r="A45" s="5" t="s">
        <v>61</v>
      </c>
      <c r="B45" s="4" t="s">
        <v>62</v>
      </c>
    </row>
    <row r="46" ht="15.75" customHeight="1">
      <c r="A46" s="5" t="s">
        <v>63</v>
      </c>
      <c r="B46" s="4" t="s">
        <v>64</v>
      </c>
    </row>
    <row r="47" ht="15.75" customHeight="1">
      <c r="A47" s="5" t="s">
        <v>65</v>
      </c>
      <c r="B47" s="4" t="s">
        <v>66</v>
      </c>
    </row>
    <row r="48" ht="15.75" customHeight="1">
      <c r="A48" s="5" t="s">
        <v>67</v>
      </c>
      <c r="B48" s="4" t="s">
        <v>68</v>
      </c>
    </row>
    <row r="49" ht="15.75" customHeight="1">
      <c r="A49" s="5" t="s">
        <v>69</v>
      </c>
      <c r="B49" s="4" t="s">
        <v>70</v>
      </c>
    </row>
    <row r="50" ht="15.75" customHeight="1">
      <c r="A50" s="5" t="s">
        <v>71</v>
      </c>
      <c r="B50" s="4" t="s">
        <v>72</v>
      </c>
    </row>
    <row r="51" ht="15.75" customHeight="1">
      <c r="A51" s="5" t="s">
        <v>73</v>
      </c>
      <c r="B51" s="4" t="s">
        <v>74</v>
      </c>
    </row>
    <row r="52" ht="15.75" customHeight="1">
      <c r="A52" s="5" t="s">
        <v>75</v>
      </c>
      <c r="B52" s="4" t="s">
        <v>76</v>
      </c>
    </row>
    <row r="53" ht="15.75" customHeight="1"/>
    <row r="54" ht="15.75" customHeight="1">
      <c r="A54" s="3" t="s">
        <v>77</v>
      </c>
    </row>
    <row r="55" ht="15.75" customHeight="1">
      <c r="A55" s="5" t="s">
        <v>78</v>
      </c>
      <c r="B55" s="4" t="s">
        <v>79</v>
      </c>
    </row>
    <row r="56" ht="15.75" customHeight="1">
      <c r="A56" s="5" t="s">
        <v>80</v>
      </c>
      <c r="B56" s="4" t="s">
        <v>81</v>
      </c>
    </row>
    <row r="57" ht="15.75" customHeight="1">
      <c r="A57" s="5" t="s">
        <v>82</v>
      </c>
      <c r="B57" s="4" t="s">
        <v>83</v>
      </c>
    </row>
    <row r="58" ht="15.75" customHeight="1">
      <c r="A58" s="5" t="s">
        <v>84</v>
      </c>
      <c r="B58" s="4" t="s">
        <v>85</v>
      </c>
    </row>
    <row r="59" ht="15.75" customHeight="1">
      <c r="A59" s="5" t="s">
        <v>86</v>
      </c>
      <c r="B59" s="4" t="s">
        <v>87</v>
      </c>
    </row>
    <row r="60" ht="15.75" customHeight="1">
      <c r="A60" s="5" t="s">
        <v>88</v>
      </c>
      <c r="B60" s="4" t="s">
        <v>89</v>
      </c>
    </row>
    <row r="61" ht="15.75" customHeight="1">
      <c r="A61" s="5" t="s">
        <v>90</v>
      </c>
      <c r="B61" s="4" t="s">
        <v>91</v>
      </c>
    </row>
    <row r="62" ht="15.75" customHeight="1">
      <c r="A62" s="5" t="s">
        <v>92</v>
      </c>
      <c r="B62" s="4" t="s">
        <v>93</v>
      </c>
    </row>
    <row r="63" ht="15.75" customHeight="1">
      <c r="A63" s="5" t="s">
        <v>94</v>
      </c>
      <c r="B63" s="4" t="s">
        <v>95</v>
      </c>
    </row>
    <row r="64" ht="15.75" customHeight="1">
      <c r="A64" s="5" t="s">
        <v>96</v>
      </c>
      <c r="B64" s="4" t="s">
        <v>97</v>
      </c>
    </row>
    <row r="65" ht="15.75" customHeight="1">
      <c r="A65" s="5" t="s">
        <v>98</v>
      </c>
      <c r="B65" s="4" t="s">
        <v>99</v>
      </c>
    </row>
    <row r="66" ht="15.75" customHeight="1">
      <c r="A66" s="5" t="s">
        <v>100</v>
      </c>
      <c r="B66" s="4" t="s">
        <v>101</v>
      </c>
    </row>
    <row r="67" ht="15.75" customHeight="1">
      <c r="A67" s="5" t="s">
        <v>102</v>
      </c>
      <c r="B67" s="4" t="s">
        <v>103</v>
      </c>
    </row>
    <row r="68" ht="15.75" customHeight="1">
      <c r="A68" s="5" t="s">
        <v>104</v>
      </c>
      <c r="B68" s="4" t="s">
        <v>105</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B5"/>
    <mergeCell ref="A6:B6"/>
    <mergeCell ref="A7:B7"/>
    <mergeCell ref="A42:B4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0"/>
    <col customWidth="1" min="2" max="2" width="26.0"/>
    <col customWidth="1" min="3" max="3" width="34.0"/>
    <col customWidth="1" min="4" max="4" width="12.0"/>
    <col customWidth="1" min="5" max="5" width="13.0"/>
    <col customWidth="1" min="6" max="7" width="11.0"/>
    <col customWidth="1" min="8" max="9" width="26.0"/>
    <col customWidth="1" min="10" max="10" width="12.0"/>
    <col customWidth="1" min="11" max="11" width="30.0"/>
    <col customWidth="1" min="12" max="12" width="14.0"/>
    <col customWidth="1" min="13" max="13" width="18.0"/>
    <col customWidth="1" min="14" max="14" width="22.0"/>
    <col customWidth="1" min="15" max="15" width="11.0"/>
    <col customWidth="1" min="16" max="16" width="14.0"/>
    <col customWidth="1" min="17" max="17" width="50.0"/>
    <col customWidth="1" min="18" max="18" width="14.0"/>
    <col customWidth="1" min="19" max="19" width="6.0"/>
    <col customWidth="1" min="20" max="20" width="15.0"/>
    <col customWidth="1" min="21" max="21" width="20.0"/>
    <col customWidth="1" min="22" max="22" width="28.0"/>
    <col customWidth="1" min="23" max="23" width="24.0"/>
    <col customWidth="1" min="24" max="24" width="30.0"/>
    <col customWidth="1" min="25" max="25" width="9.0"/>
    <col customWidth="1" min="26" max="26" width="60.0"/>
    <col customWidth="1" min="27" max="27" width="12.0"/>
    <col customWidth="1" min="28" max="28" width="18.0"/>
    <col customWidth="1" min="29" max="29" width="46.0"/>
    <col customWidth="1" min="30" max="30" width="18.0"/>
    <col customWidth="1" min="31" max="31" width="26.0"/>
    <col customWidth="1" min="32" max="32" width="30.0"/>
    <col customWidth="1" min="33" max="33" width="52.0"/>
    <col customWidth="1" min="34" max="34" width="22.0"/>
    <col customWidth="1" min="35" max="35" width="40.0"/>
    <col customWidth="1" min="36" max="36" width="64.0"/>
    <col customWidth="1" min="37" max="37" width="10.0"/>
    <col customWidth="1" min="38" max="38" width="50.0"/>
  </cols>
  <sheetData>
    <row r="1" ht="60.0" customHeight="1">
      <c r="A1" s="6" t="s">
        <v>106</v>
      </c>
      <c r="B1" s="6" t="s">
        <v>78</v>
      </c>
      <c r="C1" s="6" t="s">
        <v>107</v>
      </c>
      <c r="D1" s="6" t="s">
        <v>108</v>
      </c>
      <c r="E1" s="6" t="s">
        <v>109</v>
      </c>
      <c r="F1" s="6" t="s">
        <v>110</v>
      </c>
      <c r="G1" s="6" t="s">
        <v>111</v>
      </c>
      <c r="H1" s="6" t="s">
        <v>112</v>
      </c>
      <c r="I1" s="6" t="s">
        <v>113</v>
      </c>
      <c r="J1" s="6" t="s">
        <v>82</v>
      </c>
      <c r="K1" s="6" t="s">
        <v>84</v>
      </c>
      <c r="L1" s="6" t="s">
        <v>114</v>
      </c>
      <c r="M1" s="6" t="s">
        <v>86</v>
      </c>
      <c r="N1" s="6" t="s">
        <v>115</v>
      </c>
      <c r="O1" s="6" t="s">
        <v>116</v>
      </c>
      <c r="P1" s="6" t="s">
        <v>117</v>
      </c>
      <c r="Q1" s="6" t="s">
        <v>118</v>
      </c>
      <c r="R1" s="6" t="s">
        <v>90</v>
      </c>
      <c r="S1" s="6" t="s">
        <v>119</v>
      </c>
      <c r="T1" s="6" t="s">
        <v>120</v>
      </c>
      <c r="U1" s="6" t="s">
        <v>121</v>
      </c>
      <c r="V1" s="6" t="s">
        <v>94</v>
      </c>
      <c r="W1" s="6" t="s">
        <v>96</v>
      </c>
      <c r="X1" s="6" t="s">
        <v>122</v>
      </c>
      <c r="Y1" s="6" t="s">
        <v>98</v>
      </c>
      <c r="Z1" s="6" t="s">
        <v>123</v>
      </c>
      <c r="AA1" s="6" t="s">
        <v>124</v>
      </c>
      <c r="AB1" s="6" t="s">
        <v>125</v>
      </c>
      <c r="AC1" s="6" t="s">
        <v>126</v>
      </c>
      <c r="AD1" s="6" t="s">
        <v>127</v>
      </c>
      <c r="AE1" s="6" t="s">
        <v>128</v>
      </c>
      <c r="AF1" s="6" t="s">
        <v>129</v>
      </c>
      <c r="AG1" s="6" t="s">
        <v>130</v>
      </c>
      <c r="AH1" s="6" t="s">
        <v>131</v>
      </c>
      <c r="AI1" s="6" t="s">
        <v>132</v>
      </c>
      <c r="AJ1" s="6" t="s">
        <v>100</v>
      </c>
      <c r="AK1" s="6" t="s">
        <v>133</v>
      </c>
      <c r="AL1" s="6" t="s">
        <v>134</v>
      </c>
    </row>
    <row r="2">
      <c r="A2" s="7">
        <v>1.0</v>
      </c>
      <c r="B2" s="8" t="s">
        <v>135</v>
      </c>
      <c r="C2" s="9" t="s">
        <v>136</v>
      </c>
      <c r="D2" s="8" t="s">
        <v>137</v>
      </c>
      <c r="E2" s="8" t="s">
        <v>138</v>
      </c>
      <c r="F2" s="10">
        <v>22.0</v>
      </c>
      <c r="G2" s="10">
        <f t="shared" ref="G2:G211" si="1">F2*12</f>
        <v>264</v>
      </c>
      <c r="H2" s="8" t="s">
        <v>139</v>
      </c>
      <c r="I2" s="8" t="s">
        <v>140</v>
      </c>
      <c r="J2" s="8" t="s">
        <v>141</v>
      </c>
      <c r="K2" s="8" t="s">
        <v>142</v>
      </c>
      <c r="L2" s="8" t="s">
        <v>143</v>
      </c>
      <c r="M2" s="8" t="s">
        <v>144</v>
      </c>
      <c r="N2" s="8" t="s">
        <v>145</v>
      </c>
      <c r="O2" s="8" t="s">
        <v>141</v>
      </c>
      <c r="P2" s="11">
        <v>0.3</v>
      </c>
      <c r="Q2" s="8" t="s">
        <v>146</v>
      </c>
      <c r="R2" s="8" t="s">
        <v>147</v>
      </c>
      <c r="S2" s="8" t="s">
        <v>148</v>
      </c>
      <c r="T2" s="8" t="s">
        <v>149</v>
      </c>
      <c r="U2" s="8" t="s">
        <v>150</v>
      </c>
      <c r="V2" s="8" t="s">
        <v>151</v>
      </c>
      <c r="W2" s="8" t="s">
        <v>152</v>
      </c>
      <c r="X2" s="8" t="s">
        <v>153</v>
      </c>
      <c r="Y2" s="8" t="s">
        <v>154</v>
      </c>
      <c r="Z2" s="8" t="s">
        <v>155</v>
      </c>
      <c r="AA2" s="8" t="s">
        <v>141</v>
      </c>
      <c r="AB2" s="8"/>
      <c r="AC2" s="8" t="s">
        <v>156</v>
      </c>
      <c r="AD2" s="8" t="s">
        <v>157</v>
      </c>
      <c r="AE2" s="8" t="s">
        <v>158</v>
      </c>
      <c r="AF2" s="8" t="s">
        <v>159</v>
      </c>
      <c r="AG2" s="8" t="s">
        <v>160</v>
      </c>
      <c r="AH2" s="8" t="s">
        <v>161</v>
      </c>
      <c r="AI2" s="8" t="s">
        <v>162</v>
      </c>
      <c r="AJ2" s="8" t="s">
        <v>163</v>
      </c>
      <c r="AK2" s="8" t="s">
        <v>164</v>
      </c>
      <c r="AL2" s="8"/>
    </row>
    <row r="3">
      <c r="A3" s="7">
        <v>2.0</v>
      </c>
      <c r="B3" s="8" t="s">
        <v>165</v>
      </c>
      <c r="C3" s="9" t="s">
        <v>166</v>
      </c>
      <c r="D3" s="8" t="s">
        <v>137</v>
      </c>
      <c r="E3" s="8" t="s">
        <v>138</v>
      </c>
      <c r="F3" s="10">
        <v>15.0</v>
      </c>
      <c r="G3" s="10">
        <f t="shared" si="1"/>
        <v>180</v>
      </c>
      <c r="H3" s="8" t="s">
        <v>167</v>
      </c>
      <c r="I3" s="8" t="s">
        <v>168</v>
      </c>
      <c r="J3" s="8" t="s">
        <v>141</v>
      </c>
      <c r="K3" s="8" t="s">
        <v>169</v>
      </c>
      <c r="L3" s="8"/>
      <c r="M3" s="8" t="s">
        <v>144</v>
      </c>
      <c r="N3" s="8" t="s">
        <v>170</v>
      </c>
      <c r="O3" s="8" t="s">
        <v>164</v>
      </c>
      <c r="P3" s="11">
        <v>0.0</v>
      </c>
      <c r="Q3" s="8" t="s">
        <v>171</v>
      </c>
      <c r="R3" s="8" t="s">
        <v>172</v>
      </c>
      <c r="S3" s="8" t="s">
        <v>173</v>
      </c>
      <c r="T3" s="8" t="s">
        <v>174</v>
      </c>
      <c r="U3" s="8" t="s">
        <v>173</v>
      </c>
      <c r="V3" s="8" t="s">
        <v>164</v>
      </c>
      <c r="W3" s="8"/>
      <c r="X3" s="8" t="s">
        <v>175</v>
      </c>
      <c r="Y3" s="8" t="s">
        <v>176</v>
      </c>
      <c r="Z3" s="8" t="s">
        <v>177</v>
      </c>
      <c r="AA3" s="8" t="s">
        <v>164</v>
      </c>
      <c r="AB3" s="8" t="s">
        <v>178</v>
      </c>
      <c r="AC3" s="8" t="s">
        <v>179</v>
      </c>
      <c r="AD3" s="8" t="s">
        <v>180</v>
      </c>
      <c r="AE3" s="8" t="s">
        <v>181</v>
      </c>
      <c r="AF3" s="8" t="s">
        <v>182</v>
      </c>
      <c r="AG3" s="8" t="s">
        <v>182</v>
      </c>
      <c r="AH3" s="8"/>
      <c r="AI3" s="8"/>
      <c r="AJ3" s="8" t="s">
        <v>183</v>
      </c>
      <c r="AK3" s="8" t="s">
        <v>141</v>
      </c>
      <c r="AL3" s="8" t="s">
        <v>184</v>
      </c>
    </row>
    <row r="4">
      <c r="A4" s="7">
        <v>3.0</v>
      </c>
      <c r="B4" s="8" t="s">
        <v>185</v>
      </c>
      <c r="C4" s="9" t="s">
        <v>186</v>
      </c>
      <c r="D4" s="8" t="s">
        <v>137</v>
      </c>
      <c r="E4" s="8" t="s">
        <v>138</v>
      </c>
      <c r="F4" s="10">
        <v>40.0</v>
      </c>
      <c r="G4" s="10">
        <f t="shared" si="1"/>
        <v>480</v>
      </c>
      <c r="H4" s="8" t="s">
        <v>187</v>
      </c>
      <c r="I4" s="8" t="s">
        <v>188</v>
      </c>
      <c r="J4" s="8" t="s">
        <v>141</v>
      </c>
      <c r="K4" s="8" t="s">
        <v>189</v>
      </c>
      <c r="L4" s="8" t="s">
        <v>190</v>
      </c>
      <c r="M4" s="8" t="s">
        <v>144</v>
      </c>
      <c r="N4" s="8" t="s">
        <v>145</v>
      </c>
      <c r="O4" s="8" t="s">
        <v>141</v>
      </c>
      <c r="P4" s="11">
        <v>0.3</v>
      </c>
      <c r="Q4" s="8" t="s">
        <v>191</v>
      </c>
      <c r="R4" s="8" t="s">
        <v>147</v>
      </c>
      <c r="S4" s="8" t="s">
        <v>148</v>
      </c>
      <c r="T4" s="8" t="s">
        <v>149</v>
      </c>
      <c r="U4" s="8" t="s">
        <v>150</v>
      </c>
      <c r="V4" s="8" t="s">
        <v>151</v>
      </c>
      <c r="W4" s="8" t="s">
        <v>152</v>
      </c>
      <c r="X4" s="8" t="s">
        <v>192</v>
      </c>
      <c r="Y4" s="8" t="s">
        <v>193</v>
      </c>
      <c r="Z4" s="8" t="s">
        <v>194</v>
      </c>
      <c r="AA4" s="8" t="s">
        <v>195</v>
      </c>
      <c r="AB4" s="8"/>
      <c r="AC4" s="8" t="s">
        <v>196</v>
      </c>
      <c r="AD4" s="8" t="s">
        <v>157</v>
      </c>
      <c r="AE4" s="8" t="s">
        <v>158</v>
      </c>
      <c r="AF4" s="8" t="s">
        <v>197</v>
      </c>
      <c r="AG4" s="8" t="s">
        <v>198</v>
      </c>
      <c r="AH4" s="8" t="s">
        <v>199</v>
      </c>
      <c r="AI4" s="8"/>
      <c r="AJ4" s="8" t="s">
        <v>200</v>
      </c>
      <c r="AK4" s="8" t="s">
        <v>141</v>
      </c>
      <c r="AL4" s="8" t="s">
        <v>201</v>
      </c>
    </row>
    <row r="5">
      <c r="A5" s="7">
        <v>4.0</v>
      </c>
      <c r="B5" s="8" t="s">
        <v>202</v>
      </c>
      <c r="C5" s="9" t="s">
        <v>203</v>
      </c>
      <c r="D5" s="8" t="s">
        <v>137</v>
      </c>
      <c r="E5" s="8" t="s">
        <v>138</v>
      </c>
      <c r="F5" s="10">
        <v>10.0</v>
      </c>
      <c r="G5" s="10">
        <f t="shared" si="1"/>
        <v>120</v>
      </c>
      <c r="H5" s="8" t="s">
        <v>204</v>
      </c>
      <c r="I5" s="8" t="s">
        <v>205</v>
      </c>
      <c r="J5" s="8" t="s">
        <v>141</v>
      </c>
      <c r="K5" s="8" t="s">
        <v>169</v>
      </c>
      <c r="L5" s="8" t="s">
        <v>143</v>
      </c>
      <c r="M5" s="8" t="s">
        <v>144</v>
      </c>
      <c r="N5" s="8" t="s">
        <v>145</v>
      </c>
      <c r="O5" s="8" t="s">
        <v>141</v>
      </c>
      <c r="P5" s="11">
        <v>0.8</v>
      </c>
      <c r="Q5" s="8" t="s">
        <v>206</v>
      </c>
      <c r="R5" s="8" t="s">
        <v>207</v>
      </c>
      <c r="S5" s="8" t="s">
        <v>148</v>
      </c>
      <c r="T5" s="8" t="s">
        <v>149</v>
      </c>
      <c r="U5" s="8" t="s">
        <v>148</v>
      </c>
      <c r="V5" s="8" t="s">
        <v>151</v>
      </c>
      <c r="W5" s="8" t="s">
        <v>152</v>
      </c>
      <c r="X5" s="8" t="s">
        <v>208</v>
      </c>
      <c r="Y5" s="8" t="s">
        <v>154</v>
      </c>
      <c r="Z5" s="8" t="s">
        <v>209</v>
      </c>
      <c r="AA5" s="8" t="s">
        <v>141</v>
      </c>
      <c r="AB5" s="8"/>
      <c r="AC5" s="8" t="s">
        <v>210</v>
      </c>
      <c r="AD5" s="8" t="s">
        <v>157</v>
      </c>
      <c r="AE5" s="8" t="s">
        <v>158</v>
      </c>
      <c r="AF5" s="8" t="s">
        <v>211</v>
      </c>
      <c r="AG5" s="8" t="s">
        <v>212</v>
      </c>
      <c r="AH5" s="8" t="s">
        <v>213</v>
      </c>
      <c r="AI5" s="8" t="s">
        <v>214</v>
      </c>
      <c r="AJ5" s="8" t="s">
        <v>215</v>
      </c>
      <c r="AK5" s="8" t="s">
        <v>141</v>
      </c>
      <c r="AL5" s="8" t="s">
        <v>216</v>
      </c>
    </row>
    <row r="6">
      <c r="A6" s="7">
        <v>5.0</v>
      </c>
      <c r="B6" s="8" t="s">
        <v>217</v>
      </c>
      <c r="C6" s="9" t="s">
        <v>218</v>
      </c>
      <c r="D6" s="8" t="s">
        <v>137</v>
      </c>
      <c r="E6" s="8" t="s">
        <v>138</v>
      </c>
      <c r="F6" s="10">
        <v>16.0</v>
      </c>
      <c r="G6" s="10">
        <f t="shared" si="1"/>
        <v>192</v>
      </c>
      <c r="H6" s="8" t="s">
        <v>219</v>
      </c>
      <c r="I6" s="8" t="s">
        <v>220</v>
      </c>
      <c r="J6" s="8" t="s">
        <v>221</v>
      </c>
      <c r="K6" s="8" t="s">
        <v>222</v>
      </c>
      <c r="L6" s="8" t="s">
        <v>223</v>
      </c>
      <c r="M6" s="8" t="s">
        <v>144</v>
      </c>
      <c r="N6" s="8" t="s">
        <v>145</v>
      </c>
      <c r="O6" s="8" t="s">
        <v>141</v>
      </c>
      <c r="P6" s="11">
        <v>0.2</v>
      </c>
      <c r="Q6" s="8" t="s">
        <v>224</v>
      </c>
      <c r="R6" s="8" t="s">
        <v>147</v>
      </c>
      <c r="S6" s="8" t="s">
        <v>148</v>
      </c>
      <c r="T6" s="8" t="s">
        <v>149</v>
      </c>
      <c r="U6" s="8" t="s">
        <v>150</v>
      </c>
      <c r="V6" s="8" t="s">
        <v>151</v>
      </c>
      <c r="W6" s="8" t="s">
        <v>152</v>
      </c>
      <c r="X6" s="8" t="s">
        <v>225</v>
      </c>
      <c r="Y6" s="8" t="s">
        <v>193</v>
      </c>
      <c r="Z6" s="8" t="s">
        <v>226</v>
      </c>
      <c r="AA6" s="8" t="s">
        <v>141</v>
      </c>
      <c r="AB6" s="8"/>
      <c r="AC6" s="8" t="s">
        <v>227</v>
      </c>
      <c r="AD6" s="8" t="s">
        <v>157</v>
      </c>
      <c r="AE6" s="8" t="s">
        <v>158</v>
      </c>
      <c r="AF6" s="8" t="s">
        <v>228</v>
      </c>
      <c r="AG6" s="8" t="s">
        <v>229</v>
      </c>
      <c r="AH6" s="8" t="s">
        <v>213</v>
      </c>
      <c r="AI6" s="8"/>
      <c r="AJ6" s="8" t="s">
        <v>230</v>
      </c>
      <c r="AK6" s="8" t="s">
        <v>164</v>
      </c>
      <c r="AL6" s="8"/>
    </row>
    <row r="7">
      <c r="A7" s="7">
        <v>6.0</v>
      </c>
      <c r="B7" s="8" t="s">
        <v>231</v>
      </c>
      <c r="C7" s="9" t="s">
        <v>232</v>
      </c>
      <c r="D7" s="8" t="s">
        <v>137</v>
      </c>
      <c r="E7" s="8" t="s">
        <v>138</v>
      </c>
      <c r="F7" s="10">
        <v>12.0</v>
      </c>
      <c r="G7" s="10">
        <f t="shared" si="1"/>
        <v>144</v>
      </c>
      <c r="H7" s="8" t="s">
        <v>233</v>
      </c>
      <c r="I7" s="8" t="s">
        <v>234</v>
      </c>
      <c r="J7" s="8" t="s">
        <v>141</v>
      </c>
      <c r="K7" s="8" t="s">
        <v>142</v>
      </c>
      <c r="L7" s="8" t="s">
        <v>190</v>
      </c>
      <c r="M7" s="8" t="s">
        <v>144</v>
      </c>
      <c r="N7" s="8" t="s">
        <v>145</v>
      </c>
      <c r="O7" s="8" t="s">
        <v>141</v>
      </c>
      <c r="P7" s="11">
        <v>0.4</v>
      </c>
      <c r="Q7" s="8" t="s">
        <v>235</v>
      </c>
      <c r="R7" s="8" t="s">
        <v>147</v>
      </c>
      <c r="S7" s="8" t="s">
        <v>148</v>
      </c>
      <c r="T7" s="8" t="s">
        <v>149</v>
      </c>
      <c r="U7" s="8" t="s">
        <v>150</v>
      </c>
      <c r="V7" s="8" t="s">
        <v>151</v>
      </c>
      <c r="W7" s="8" t="s">
        <v>152</v>
      </c>
      <c r="X7" s="8" t="s">
        <v>236</v>
      </c>
      <c r="Y7" s="8" t="s">
        <v>193</v>
      </c>
      <c r="Z7" s="8" t="s">
        <v>237</v>
      </c>
      <c r="AA7" s="8" t="s">
        <v>141</v>
      </c>
      <c r="AB7" s="8"/>
      <c r="AC7" s="8" t="s">
        <v>238</v>
      </c>
      <c r="AD7" s="8" t="s">
        <v>157</v>
      </c>
      <c r="AE7" s="8" t="s">
        <v>158</v>
      </c>
      <c r="AF7" s="8" t="s">
        <v>239</v>
      </c>
      <c r="AG7" s="8" t="s">
        <v>240</v>
      </c>
      <c r="AH7" s="8" t="s">
        <v>213</v>
      </c>
      <c r="AI7" s="8"/>
      <c r="AJ7" s="8" t="s">
        <v>241</v>
      </c>
      <c r="AK7" s="8" t="s">
        <v>141</v>
      </c>
      <c r="AL7" s="8" t="s">
        <v>242</v>
      </c>
    </row>
    <row r="8">
      <c r="A8" s="7">
        <v>7.0</v>
      </c>
      <c r="B8" s="8" t="s">
        <v>243</v>
      </c>
      <c r="C8" s="9" t="s">
        <v>244</v>
      </c>
      <c r="D8" s="8" t="s">
        <v>137</v>
      </c>
      <c r="E8" s="8" t="s">
        <v>138</v>
      </c>
      <c r="F8" s="10">
        <v>20.0</v>
      </c>
      <c r="G8" s="10">
        <f t="shared" si="1"/>
        <v>240</v>
      </c>
      <c r="H8" s="8" t="s">
        <v>245</v>
      </c>
      <c r="I8" s="8" t="s">
        <v>246</v>
      </c>
      <c r="J8" s="8" t="s">
        <v>141</v>
      </c>
      <c r="K8" s="8" t="s">
        <v>142</v>
      </c>
      <c r="L8" s="8" t="s">
        <v>190</v>
      </c>
      <c r="M8" s="8" t="s">
        <v>144</v>
      </c>
      <c r="N8" s="8" t="s">
        <v>145</v>
      </c>
      <c r="O8" s="8" t="s">
        <v>141</v>
      </c>
      <c r="P8" s="11">
        <v>0.1</v>
      </c>
      <c r="Q8" s="8" t="s">
        <v>247</v>
      </c>
      <c r="R8" s="8" t="s">
        <v>147</v>
      </c>
      <c r="S8" s="8" t="s">
        <v>148</v>
      </c>
      <c r="T8" s="8" t="s">
        <v>149</v>
      </c>
      <c r="U8" s="8" t="s">
        <v>150</v>
      </c>
      <c r="V8" s="8" t="s">
        <v>151</v>
      </c>
      <c r="W8" s="8" t="s">
        <v>152</v>
      </c>
      <c r="X8" s="8" t="s">
        <v>248</v>
      </c>
      <c r="Y8" s="8" t="s">
        <v>249</v>
      </c>
      <c r="Z8" s="8" t="s">
        <v>250</v>
      </c>
      <c r="AA8" s="8" t="s">
        <v>195</v>
      </c>
      <c r="AB8" s="8"/>
      <c r="AC8" s="8" t="s">
        <v>251</v>
      </c>
      <c r="AD8" s="8" t="s">
        <v>252</v>
      </c>
      <c r="AE8" s="8" t="s">
        <v>181</v>
      </c>
      <c r="AF8" s="8" t="s">
        <v>253</v>
      </c>
      <c r="AG8" s="8" t="s">
        <v>182</v>
      </c>
      <c r="AH8" s="8" t="s">
        <v>213</v>
      </c>
      <c r="AI8" s="8"/>
      <c r="AJ8" s="8" t="s">
        <v>254</v>
      </c>
      <c r="AK8" s="8" t="s">
        <v>164</v>
      </c>
      <c r="AL8" s="8"/>
    </row>
    <row r="9">
      <c r="A9" s="7">
        <v>8.0</v>
      </c>
      <c r="B9" s="8" t="s">
        <v>255</v>
      </c>
      <c r="C9" s="9" t="s">
        <v>256</v>
      </c>
      <c r="D9" s="8" t="s">
        <v>137</v>
      </c>
      <c r="E9" s="8" t="s">
        <v>138</v>
      </c>
      <c r="F9" s="10">
        <v>19.0</v>
      </c>
      <c r="G9" s="10">
        <f t="shared" si="1"/>
        <v>228</v>
      </c>
      <c r="H9" s="8" t="s">
        <v>257</v>
      </c>
      <c r="I9" s="8" t="s">
        <v>258</v>
      </c>
      <c r="J9" s="8" t="s">
        <v>221</v>
      </c>
      <c r="K9" s="8" t="s">
        <v>259</v>
      </c>
      <c r="L9" s="8" t="s">
        <v>260</v>
      </c>
      <c r="M9" s="8" t="s">
        <v>261</v>
      </c>
      <c r="N9" s="8" t="s">
        <v>262</v>
      </c>
      <c r="O9" s="8" t="s">
        <v>164</v>
      </c>
      <c r="P9" s="11">
        <v>0.5</v>
      </c>
      <c r="Q9" s="8" t="s">
        <v>263</v>
      </c>
      <c r="R9" s="8" t="s">
        <v>264</v>
      </c>
      <c r="S9" s="8" t="s">
        <v>148</v>
      </c>
      <c r="T9" s="8" t="s">
        <v>149</v>
      </c>
      <c r="U9" s="8" t="s">
        <v>265</v>
      </c>
      <c r="V9" s="8" t="s">
        <v>164</v>
      </c>
      <c r="W9" s="8" t="s">
        <v>152</v>
      </c>
      <c r="X9" s="8" t="s">
        <v>266</v>
      </c>
      <c r="Y9" s="8" t="s">
        <v>154</v>
      </c>
      <c r="Z9" s="8" t="s">
        <v>267</v>
      </c>
      <c r="AA9" s="8" t="s">
        <v>141</v>
      </c>
      <c r="AB9" s="8"/>
      <c r="AC9" s="8" t="s">
        <v>268</v>
      </c>
      <c r="AD9" s="8" t="s">
        <v>157</v>
      </c>
      <c r="AE9" s="8" t="s">
        <v>158</v>
      </c>
      <c r="AF9" s="8" t="s">
        <v>269</v>
      </c>
      <c r="AG9" s="8" t="s">
        <v>270</v>
      </c>
      <c r="AH9" s="8"/>
      <c r="AI9" s="8" t="s">
        <v>271</v>
      </c>
      <c r="AJ9" s="8" t="s">
        <v>272</v>
      </c>
      <c r="AK9" s="8" t="s">
        <v>141</v>
      </c>
      <c r="AL9" s="8" t="s">
        <v>273</v>
      </c>
    </row>
    <row r="10">
      <c r="A10" s="7">
        <v>9.0</v>
      </c>
      <c r="B10" s="8" t="s">
        <v>274</v>
      </c>
      <c r="C10" s="9" t="s">
        <v>275</v>
      </c>
      <c r="D10" s="8" t="s">
        <v>137</v>
      </c>
      <c r="E10" s="8" t="s">
        <v>138</v>
      </c>
      <c r="F10" s="10">
        <v>12.0</v>
      </c>
      <c r="G10" s="10">
        <f t="shared" si="1"/>
        <v>144</v>
      </c>
      <c r="H10" s="8" t="s">
        <v>276</v>
      </c>
      <c r="I10" s="8" t="s">
        <v>246</v>
      </c>
      <c r="J10" s="8" t="s">
        <v>141</v>
      </c>
      <c r="K10" s="8" t="s">
        <v>169</v>
      </c>
      <c r="L10" s="8" t="s">
        <v>143</v>
      </c>
      <c r="M10" s="8" t="s">
        <v>144</v>
      </c>
      <c r="N10" s="8" t="s">
        <v>145</v>
      </c>
      <c r="O10" s="8" t="s">
        <v>141</v>
      </c>
      <c r="P10" s="11">
        <v>0.2</v>
      </c>
      <c r="Q10" s="8" t="s">
        <v>277</v>
      </c>
      <c r="R10" s="8" t="s">
        <v>147</v>
      </c>
      <c r="S10" s="8" t="s">
        <v>148</v>
      </c>
      <c r="T10" s="8" t="s">
        <v>149</v>
      </c>
      <c r="U10" s="8" t="s">
        <v>150</v>
      </c>
      <c r="V10" s="8" t="s">
        <v>151</v>
      </c>
      <c r="W10" s="8" t="s">
        <v>152</v>
      </c>
      <c r="X10" s="8" t="s">
        <v>278</v>
      </c>
      <c r="Y10" s="8" t="s">
        <v>193</v>
      </c>
      <c r="Z10" s="8" t="s">
        <v>279</v>
      </c>
      <c r="AA10" s="8" t="s">
        <v>195</v>
      </c>
      <c r="AB10" s="8"/>
      <c r="AC10" s="8" t="s">
        <v>280</v>
      </c>
      <c r="AD10" s="8" t="s">
        <v>157</v>
      </c>
      <c r="AE10" s="8" t="s">
        <v>158</v>
      </c>
      <c r="AF10" s="8" t="s">
        <v>228</v>
      </c>
      <c r="AG10" s="8" t="s">
        <v>281</v>
      </c>
      <c r="AH10" s="8" t="s">
        <v>213</v>
      </c>
      <c r="AI10" s="8"/>
      <c r="AJ10" s="8" t="s">
        <v>282</v>
      </c>
      <c r="AK10" s="8" t="s">
        <v>164</v>
      </c>
      <c r="AL10" s="8"/>
    </row>
    <row r="11">
      <c r="A11" s="7">
        <v>10.0</v>
      </c>
      <c r="B11" s="8" t="s">
        <v>283</v>
      </c>
      <c r="C11" s="9" t="s">
        <v>284</v>
      </c>
      <c r="D11" s="8" t="s">
        <v>137</v>
      </c>
      <c r="E11" s="8" t="s">
        <v>285</v>
      </c>
      <c r="F11" s="10">
        <v>8.0</v>
      </c>
      <c r="G11" s="10">
        <f t="shared" si="1"/>
        <v>96</v>
      </c>
      <c r="H11" s="8" t="s">
        <v>286</v>
      </c>
      <c r="I11" s="8" t="s">
        <v>287</v>
      </c>
      <c r="J11" s="8" t="s">
        <v>141</v>
      </c>
      <c r="K11" s="8" t="s">
        <v>169</v>
      </c>
      <c r="L11" s="8" t="s">
        <v>143</v>
      </c>
      <c r="M11" s="8" t="s">
        <v>144</v>
      </c>
      <c r="N11" s="8" t="s">
        <v>145</v>
      </c>
      <c r="O11" s="8" t="s">
        <v>141</v>
      </c>
      <c r="P11" s="11">
        <v>0.2</v>
      </c>
      <c r="Q11" s="8" t="s">
        <v>288</v>
      </c>
      <c r="R11" s="8" t="s">
        <v>147</v>
      </c>
      <c r="S11" s="8" t="s">
        <v>148</v>
      </c>
      <c r="T11" s="8" t="s">
        <v>149</v>
      </c>
      <c r="U11" s="8" t="s">
        <v>150</v>
      </c>
      <c r="V11" s="8" t="s">
        <v>151</v>
      </c>
      <c r="W11" s="8" t="s">
        <v>152</v>
      </c>
      <c r="X11" s="8" t="s">
        <v>289</v>
      </c>
      <c r="Y11" s="8" t="s">
        <v>193</v>
      </c>
      <c r="Z11" s="8" t="s">
        <v>290</v>
      </c>
      <c r="AA11" s="8" t="s">
        <v>195</v>
      </c>
      <c r="AB11" s="8"/>
      <c r="AC11" s="8" t="s">
        <v>291</v>
      </c>
      <c r="AD11" s="8" t="s">
        <v>252</v>
      </c>
      <c r="AE11" s="8" t="s">
        <v>181</v>
      </c>
      <c r="AF11" s="8" t="s">
        <v>253</v>
      </c>
      <c r="AG11" s="8" t="s">
        <v>182</v>
      </c>
      <c r="AH11" s="8" t="s">
        <v>213</v>
      </c>
      <c r="AI11" s="8"/>
      <c r="AJ11" s="8" t="s">
        <v>292</v>
      </c>
      <c r="AK11" s="8" t="s">
        <v>164</v>
      </c>
      <c r="AL11" s="8"/>
    </row>
    <row r="12">
      <c r="A12" s="7">
        <v>11.0</v>
      </c>
      <c r="B12" s="8" t="s">
        <v>293</v>
      </c>
      <c r="C12" s="9" t="s">
        <v>294</v>
      </c>
      <c r="D12" s="8" t="s">
        <v>137</v>
      </c>
      <c r="E12" s="8" t="s">
        <v>285</v>
      </c>
      <c r="F12" s="10">
        <v>17.0</v>
      </c>
      <c r="G12" s="10">
        <f t="shared" si="1"/>
        <v>204</v>
      </c>
      <c r="H12" s="8" t="s">
        <v>167</v>
      </c>
      <c r="I12" s="8" t="s">
        <v>246</v>
      </c>
      <c r="J12" s="8" t="s">
        <v>141</v>
      </c>
      <c r="K12" s="8" t="s">
        <v>169</v>
      </c>
      <c r="L12" s="8" t="s">
        <v>143</v>
      </c>
      <c r="M12" s="8" t="s">
        <v>144</v>
      </c>
      <c r="N12" s="8" t="s">
        <v>145</v>
      </c>
      <c r="O12" s="8" t="s">
        <v>141</v>
      </c>
      <c r="P12" s="11">
        <v>0.2</v>
      </c>
      <c r="Q12" s="8" t="s">
        <v>295</v>
      </c>
      <c r="R12" s="8" t="s">
        <v>147</v>
      </c>
      <c r="S12" s="8" t="s">
        <v>148</v>
      </c>
      <c r="T12" s="8" t="s">
        <v>149</v>
      </c>
      <c r="U12" s="8" t="s">
        <v>150</v>
      </c>
      <c r="V12" s="8" t="s">
        <v>151</v>
      </c>
      <c r="W12" s="8" t="s">
        <v>152</v>
      </c>
      <c r="X12" s="8" t="s">
        <v>289</v>
      </c>
      <c r="Y12" s="8" t="s">
        <v>193</v>
      </c>
      <c r="Z12" s="8" t="s">
        <v>296</v>
      </c>
      <c r="AA12" s="8" t="s">
        <v>195</v>
      </c>
      <c r="AB12" s="8"/>
      <c r="AC12" s="8" t="s">
        <v>280</v>
      </c>
      <c r="AD12" s="8" t="s">
        <v>252</v>
      </c>
      <c r="AE12" s="8" t="s">
        <v>181</v>
      </c>
      <c r="AF12" s="8" t="s">
        <v>253</v>
      </c>
      <c r="AG12" s="8" t="s">
        <v>182</v>
      </c>
      <c r="AH12" s="8" t="s">
        <v>213</v>
      </c>
      <c r="AI12" s="8"/>
      <c r="AJ12" s="8" t="s">
        <v>297</v>
      </c>
      <c r="AK12" s="8" t="s">
        <v>164</v>
      </c>
      <c r="AL12" s="8"/>
    </row>
    <row r="13">
      <c r="A13" s="7">
        <v>12.0</v>
      </c>
      <c r="B13" s="8" t="s">
        <v>298</v>
      </c>
      <c r="C13" s="9" t="s">
        <v>299</v>
      </c>
      <c r="D13" s="8" t="s">
        <v>137</v>
      </c>
      <c r="E13" s="8" t="s">
        <v>138</v>
      </c>
      <c r="F13" s="10">
        <v>30.0</v>
      </c>
      <c r="G13" s="10">
        <f t="shared" si="1"/>
        <v>360</v>
      </c>
      <c r="H13" s="8" t="s">
        <v>300</v>
      </c>
      <c r="I13" s="8" t="s">
        <v>301</v>
      </c>
      <c r="J13" s="8" t="s">
        <v>141</v>
      </c>
      <c r="K13" s="8" t="s">
        <v>302</v>
      </c>
      <c r="L13" s="8" t="s">
        <v>303</v>
      </c>
      <c r="M13" s="8" t="s">
        <v>144</v>
      </c>
      <c r="N13" s="8" t="s">
        <v>145</v>
      </c>
      <c r="O13" s="8" t="s">
        <v>141</v>
      </c>
      <c r="P13" s="11">
        <v>0.4</v>
      </c>
      <c r="Q13" s="8" t="s">
        <v>304</v>
      </c>
      <c r="R13" s="8" t="s">
        <v>147</v>
      </c>
      <c r="S13" s="8" t="s">
        <v>148</v>
      </c>
      <c r="T13" s="8" t="s">
        <v>149</v>
      </c>
      <c r="U13" s="8" t="s">
        <v>150</v>
      </c>
      <c r="V13" s="8" t="s">
        <v>151</v>
      </c>
      <c r="W13" s="8" t="s">
        <v>152</v>
      </c>
      <c r="X13" s="8" t="s">
        <v>305</v>
      </c>
      <c r="Y13" s="8" t="s">
        <v>193</v>
      </c>
      <c r="Z13" s="8" t="s">
        <v>306</v>
      </c>
      <c r="AA13" s="8" t="s">
        <v>141</v>
      </c>
      <c r="AB13" s="8"/>
      <c r="AC13" s="8" t="s">
        <v>280</v>
      </c>
      <c r="AD13" s="8" t="s">
        <v>157</v>
      </c>
      <c r="AE13" s="8" t="s">
        <v>158</v>
      </c>
      <c r="AF13" s="8" t="s">
        <v>307</v>
      </c>
      <c r="AG13" s="8" t="s">
        <v>308</v>
      </c>
      <c r="AH13" s="8"/>
      <c r="AI13" s="8" t="s">
        <v>309</v>
      </c>
      <c r="AJ13" s="8" t="s">
        <v>310</v>
      </c>
      <c r="AK13" s="8" t="s">
        <v>141</v>
      </c>
      <c r="AL13" s="8" t="s">
        <v>311</v>
      </c>
    </row>
    <row r="14">
      <c r="A14" s="7">
        <v>13.0</v>
      </c>
      <c r="B14" s="8" t="s">
        <v>312</v>
      </c>
      <c r="C14" s="9" t="s">
        <v>313</v>
      </c>
      <c r="D14" s="8" t="s">
        <v>137</v>
      </c>
      <c r="E14" s="8" t="s">
        <v>138</v>
      </c>
      <c r="F14" s="10">
        <v>45.0</v>
      </c>
      <c r="G14" s="10">
        <f t="shared" si="1"/>
        <v>540</v>
      </c>
      <c r="H14" s="8" t="s">
        <v>314</v>
      </c>
      <c r="I14" s="8" t="s">
        <v>315</v>
      </c>
      <c r="J14" s="8" t="s">
        <v>141</v>
      </c>
      <c r="K14" s="8" t="s">
        <v>316</v>
      </c>
      <c r="L14" s="8" t="s">
        <v>190</v>
      </c>
      <c r="M14" s="8" t="s">
        <v>144</v>
      </c>
      <c r="N14" s="8" t="s">
        <v>145</v>
      </c>
      <c r="O14" s="8" t="s">
        <v>141</v>
      </c>
      <c r="P14" s="11">
        <v>0.3</v>
      </c>
      <c r="Q14" s="8" t="s">
        <v>317</v>
      </c>
      <c r="R14" s="8" t="s">
        <v>147</v>
      </c>
      <c r="S14" s="8" t="s">
        <v>148</v>
      </c>
      <c r="T14" s="8" t="s">
        <v>149</v>
      </c>
      <c r="U14" s="8" t="s">
        <v>150</v>
      </c>
      <c r="V14" s="8" t="s">
        <v>151</v>
      </c>
      <c r="W14" s="8" t="s">
        <v>152</v>
      </c>
      <c r="X14" s="8" t="s">
        <v>318</v>
      </c>
      <c r="Y14" s="8" t="s">
        <v>193</v>
      </c>
      <c r="Z14" s="8" t="s">
        <v>319</v>
      </c>
      <c r="AA14" s="8" t="s">
        <v>195</v>
      </c>
      <c r="AB14" s="8"/>
      <c r="AC14" s="8" t="s">
        <v>320</v>
      </c>
      <c r="AD14" s="8" t="s">
        <v>157</v>
      </c>
      <c r="AE14" s="8" t="s">
        <v>158</v>
      </c>
      <c r="AF14" s="8" t="s">
        <v>321</v>
      </c>
      <c r="AG14" s="8" t="s">
        <v>322</v>
      </c>
      <c r="AH14" s="8" t="s">
        <v>213</v>
      </c>
      <c r="AI14" s="8" t="s">
        <v>323</v>
      </c>
      <c r="AJ14" s="8" t="s">
        <v>324</v>
      </c>
      <c r="AK14" s="8" t="s">
        <v>141</v>
      </c>
      <c r="AL14" s="8" t="s">
        <v>325</v>
      </c>
    </row>
    <row r="15">
      <c r="A15" s="7">
        <v>14.0</v>
      </c>
      <c r="B15" s="8" t="s">
        <v>326</v>
      </c>
      <c r="C15" s="9" t="s">
        <v>327</v>
      </c>
      <c r="D15" s="8" t="s">
        <v>137</v>
      </c>
      <c r="E15" s="8" t="s">
        <v>138</v>
      </c>
      <c r="F15" s="10">
        <v>60.0</v>
      </c>
      <c r="G15" s="10">
        <f t="shared" si="1"/>
        <v>720</v>
      </c>
      <c r="H15" s="8" t="s">
        <v>167</v>
      </c>
      <c r="I15" s="8" t="s">
        <v>246</v>
      </c>
      <c r="J15" s="8" t="s">
        <v>141</v>
      </c>
      <c r="K15" s="8" t="s">
        <v>328</v>
      </c>
      <c r="L15" s="8" t="s">
        <v>329</v>
      </c>
      <c r="M15" s="8" t="s">
        <v>144</v>
      </c>
      <c r="N15" s="8" t="s">
        <v>330</v>
      </c>
      <c r="O15" s="8" t="s">
        <v>164</v>
      </c>
      <c r="P15" s="11">
        <v>1.2</v>
      </c>
      <c r="Q15" s="8" t="s">
        <v>331</v>
      </c>
      <c r="R15" s="8" t="s">
        <v>264</v>
      </c>
      <c r="S15" s="8" t="s">
        <v>148</v>
      </c>
      <c r="T15" s="8" t="s">
        <v>149</v>
      </c>
      <c r="U15" s="8" t="s">
        <v>332</v>
      </c>
      <c r="V15" s="8" t="s">
        <v>151</v>
      </c>
      <c r="W15" s="8" t="s">
        <v>333</v>
      </c>
      <c r="X15" s="8" t="s">
        <v>289</v>
      </c>
      <c r="Y15" s="8" t="s">
        <v>193</v>
      </c>
      <c r="Z15" s="8" t="s">
        <v>334</v>
      </c>
      <c r="AA15" s="8" t="s">
        <v>141</v>
      </c>
      <c r="AB15" s="8"/>
      <c r="AC15" s="8" t="s">
        <v>335</v>
      </c>
      <c r="AD15" s="8" t="s">
        <v>336</v>
      </c>
      <c r="AE15" s="8" t="s">
        <v>337</v>
      </c>
      <c r="AF15" s="8" t="s">
        <v>338</v>
      </c>
      <c r="AG15" s="8" t="s">
        <v>182</v>
      </c>
      <c r="AH15" s="8"/>
      <c r="AI15" s="8" t="s">
        <v>339</v>
      </c>
      <c r="AJ15" s="8" t="s">
        <v>340</v>
      </c>
      <c r="AK15" s="8" t="s">
        <v>141</v>
      </c>
      <c r="AL15" s="8" t="s">
        <v>341</v>
      </c>
    </row>
    <row r="16">
      <c r="A16" s="7">
        <v>15.0</v>
      </c>
      <c r="B16" s="8" t="s">
        <v>342</v>
      </c>
      <c r="C16" s="9" t="s">
        <v>343</v>
      </c>
      <c r="D16" s="8" t="s">
        <v>137</v>
      </c>
      <c r="E16" s="8" t="s">
        <v>138</v>
      </c>
      <c r="F16" s="10">
        <v>30.0</v>
      </c>
      <c r="G16" s="10">
        <f t="shared" si="1"/>
        <v>360</v>
      </c>
      <c r="H16" s="8" t="s">
        <v>344</v>
      </c>
      <c r="I16" s="8" t="s">
        <v>345</v>
      </c>
      <c r="J16" s="8" t="s">
        <v>141</v>
      </c>
      <c r="K16" s="8" t="s">
        <v>169</v>
      </c>
      <c r="L16" s="8" t="s">
        <v>143</v>
      </c>
      <c r="M16" s="8" t="s">
        <v>144</v>
      </c>
      <c r="N16" s="8" t="s">
        <v>145</v>
      </c>
      <c r="O16" s="8" t="s">
        <v>141</v>
      </c>
      <c r="P16" s="11">
        <v>0.4</v>
      </c>
      <c r="Q16" s="8" t="s">
        <v>346</v>
      </c>
      <c r="R16" s="8" t="s">
        <v>147</v>
      </c>
      <c r="S16" s="8" t="s">
        <v>148</v>
      </c>
      <c r="T16" s="8" t="s">
        <v>149</v>
      </c>
      <c r="U16" s="8" t="s">
        <v>150</v>
      </c>
      <c r="V16" s="8" t="s">
        <v>151</v>
      </c>
      <c r="W16" s="8" t="s">
        <v>152</v>
      </c>
      <c r="X16" s="8" t="s">
        <v>289</v>
      </c>
      <c r="Y16" s="8" t="s">
        <v>154</v>
      </c>
      <c r="Z16" s="8" t="s">
        <v>347</v>
      </c>
      <c r="AA16" s="8" t="s">
        <v>141</v>
      </c>
      <c r="AB16" s="8"/>
      <c r="AC16" s="8" t="s">
        <v>348</v>
      </c>
      <c r="AD16" s="8" t="s">
        <v>252</v>
      </c>
      <c r="AE16" s="8" t="s">
        <v>181</v>
      </c>
      <c r="AF16" s="8" t="s">
        <v>253</v>
      </c>
      <c r="AG16" s="8" t="s">
        <v>349</v>
      </c>
      <c r="AH16" s="8" t="s">
        <v>213</v>
      </c>
      <c r="AI16" s="8" t="s">
        <v>350</v>
      </c>
      <c r="AJ16" s="8" t="s">
        <v>351</v>
      </c>
      <c r="AK16" s="8" t="s">
        <v>141</v>
      </c>
      <c r="AL16" s="8" t="s">
        <v>352</v>
      </c>
    </row>
    <row r="17">
      <c r="A17" s="7">
        <v>16.0</v>
      </c>
      <c r="B17" s="8" t="s">
        <v>353</v>
      </c>
      <c r="C17" s="9" t="s">
        <v>354</v>
      </c>
      <c r="D17" s="8" t="s">
        <v>137</v>
      </c>
      <c r="E17" s="8" t="s">
        <v>138</v>
      </c>
      <c r="F17" s="10">
        <v>12.0</v>
      </c>
      <c r="G17" s="10">
        <f t="shared" si="1"/>
        <v>144</v>
      </c>
      <c r="H17" s="8" t="s">
        <v>356</v>
      </c>
      <c r="I17" s="8" t="s">
        <v>315</v>
      </c>
      <c r="J17" s="8" t="s">
        <v>141</v>
      </c>
      <c r="K17" s="8" t="s">
        <v>169</v>
      </c>
      <c r="L17" s="8" t="s">
        <v>143</v>
      </c>
      <c r="M17" s="8" t="s">
        <v>144</v>
      </c>
      <c r="N17" s="8" t="s">
        <v>145</v>
      </c>
      <c r="O17" s="8" t="s">
        <v>141</v>
      </c>
      <c r="P17" s="11">
        <v>0.2</v>
      </c>
      <c r="Q17" s="8" t="s">
        <v>357</v>
      </c>
      <c r="R17" s="8" t="s">
        <v>147</v>
      </c>
      <c r="S17" s="8" t="s">
        <v>148</v>
      </c>
      <c r="T17" s="8" t="s">
        <v>149</v>
      </c>
      <c r="U17" s="8" t="s">
        <v>150</v>
      </c>
      <c r="V17" s="8" t="s">
        <v>151</v>
      </c>
      <c r="W17" s="8" t="s">
        <v>152</v>
      </c>
      <c r="X17" s="8" t="s">
        <v>289</v>
      </c>
      <c r="Y17" s="8" t="s">
        <v>193</v>
      </c>
      <c r="Z17" s="8" t="s">
        <v>359</v>
      </c>
      <c r="AA17" s="8" t="s">
        <v>195</v>
      </c>
      <c r="AB17" s="8"/>
      <c r="AC17" s="8" t="s">
        <v>280</v>
      </c>
      <c r="AD17" s="8" t="s">
        <v>252</v>
      </c>
      <c r="AE17" s="8" t="s">
        <v>181</v>
      </c>
      <c r="AF17" s="8" t="s">
        <v>253</v>
      </c>
      <c r="AG17" s="8" t="s">
        <v>182</v>
      </c>
      <c r="AH17" s="8" t="s">
        <v>213</v>
      </c>
      <c r="AI17" s="8"/>
      <c r="AJ17" s="8" t="s">
        <v>360</v>
      </c>
      <c r="AK17" s="8" t="s">
        <v>164</v>
      </c>
      <c r="AL17" s="8"/>
    </row>
    <row r="18">
      <c r="A18" s="7">
        <v>17.0</v>
      </c>
      <c r="B18" s="8" t="s">
        <v>361</v>
      </c>
      <c r="C18" s="9" t="s">
        <v>362</v>
      </c>
      <c r="D18" s="8" t="s">
        <v>137</v>
      </c>
      <c r="E18" s="8" t="s">
        <v>138</v>
      </c>
      <c r="F18" s="10">
        <v>12.0</v>
      </c>
      <c r="G18" s="10">
        <f t="shared" si="1"/>
        <v>144</v>
      </c>
      <c r="H18" s="8" t="s">
        <v>356</v>
      </c>
      <c r="I18" s="8" t="s">
        <v>365</v>
      </c>
      <c r="J18" s="8" t="s">
        <v>141</v>
      </c>
      <c r="K18" s="8" t="s">
        <v>169</v>
      </c>
      <c r="L18" s="8" t="s">
        <v>143</v>
      </c>
      <c r="M18" s="8" t="s">
        <v>144</v>
      </c>
      <c r="N18" s="8" t="s">
        <v>145</v>
      </c>
      <c r="O18" s="8" t="s">
        <v>141</v>
      </c>
      <c r="P18" s="11">
        <v>0.2</v>
      </c>
      <c r="Q18" s="8" t="s">
        <v>369</v>
      </c>
      <c r="R18" s="8" t="s">
        <v>147</v>
      </c>
      <c r="S18" s="8" t="s">
        <v>148</v>
      </c>
      <c r="T18" s="8" t="s">
        <v>149</v>
      </c>
      <c r="U18" s="8" t="s">
        <v>150</v>
      </c>
      <c r="V18" s="8" t="s">
        <v>151</v>
      </c>
      <c r="W18" s="8" t="s">
        <v>152</v>
      </c>
      <c r="X18" s="8" t="s">
        <v>289</v>
      </c>
      <c r="Y18" s="8" t="s">
        <v>193</v>
      </c>
      <c r="Z18" s="8" t="s">
        <v>371</v>
      </c>
      <c r="AA18" s="8" t="s">
        <v>195</v>
      </c>
      <c r="AB18" s="8"/>
      <c r="AC18" s="8" t="s">
        <v>280</v>
      </c>
      <c r="AD18" s="8" t="s">
        <v>252</v>
      </c>
      <c r="AE18" s="8" t="s">
        <v>181</v>
      </c>
      <c r="AF18" s="8" t="s">
        <v>253</v>
      </c>
      <c r="AG18" s="8" t="s">
        <v>182</v>
      </c>
      <c r="AH18" s="8" t="s">
        <v>213</v>
      </c>
      <c r="AI18" s="8"/>
      <c r="AJ18" s="8" t="s">
        <v>377</v>
      </c>
      <c r="AK18" s="8" t="s">
        <v>164</v>
      </c>
      <c r="AL18" s="8"/>
    </row>
    <row r="19">
      <c r="A19" s="7">
        <v>18.0</v>
      </c>
      <c r="B19" s="8" t="s">
        <v>379</v>
      </c>
      <c r="C19" s="9" t="s">
        <v>381</v>
      </c>
      <c r="D19" s="8" t="s">
        <v>137</v>
      </c>
      <c r="E19" s="8" t="s">
        <v>138</v>
      </c>
      <c r="F19" s="10">
        <v>15.0</v>
      </c>
      <c r="G19" s="10">
        <f t="shared" si="1"/>
        <v>180</v>
      </c>
      <c r="H19" s="8" t="s">
        <v>384</v>
      </c>
      <c r="I19" s="8" t="s">
        <v>386</v>
      </c>
      <c r="J19" s="8" t="s">
        <v>141</v>
      </c>
      <c r="K19" s="8" t="s">
        <v>328</v>
      </c>
      <c r="L19" s="8" t="s">
        <v>190</v>
      </c>
      <c r="M19" s="8" t="s">
        <v>144</v>
      </c>
      <c r="N19" s="8" t="s">
        <v>145</v>
      </c>
      <c r="O19" s="8" t="s">
        <v>141</v>
      </c>
      <c r="P19" s="11">
        <v>0.2</v>
      </c>
      <c r="Q19" s="8" t="s">
        <v>389</v>
      </c>
      <c r="R19" s="8" t="s">
        <v>147</v>
      </c>
      <c r="S19" s="8" t="s">
        <v>148</v>
      </c>
      <c r="T19" s="8" t="s">
        <v>149</v>
      </c>
      <c r="U19" s="8" t="s">
        <v>150</v>
      </c>
      <c r="V19" s="8" t="s">
        <v>151</v>
      </c>
      <c r="W19" s="8" t="s">
        <v>152</v>
      </c>
      <c r="X19" s="8" t="s">
        <v>392</v>
      </c>
      <c r="Y19" s="8" t="s">
        <v>193</v>
      </c>
      <c r="Z19" s="8" t="s">
        <v>395</v>
      </c>
      <c r="AA19" s="8" t="s">
        <v>141</v>
      </c>
      <c r="AB19" s="8"/>
      <c r="AC19" s="8" t="s">
        <v>397</v>
      </c>
      <c r="AD19" s="8" t="s">
        <v>157</v>
      </c>
      <c r="AE19" s="8" t="s">
        <v>158</v>
      </c>
      <c r="AF19" s="8" t="s">
        <v>228</v>
      </c>
      <c r="AG19" s="8" t="s">
        <v>398</v>
      </c>
      <c r="AH19" s="8" t="s">
        <v>213</v>
      </c>
      <c r="AI19" s="8" t="s">
        <v>399</v>
      </c>
      <c r="AJ19" s="8" t="s">
        <v>401</v>
      </c>
      <c r="AK19" s="8" t="s">
        <v>164</v>
      </c>
      <c r="AL19" s="8"/>
    </row>
    <row r="20">
      <c r="A20" s="7">
        <v>19.0</v>
      </c>
      <c r="B20" s="8" t="s">
        <v>403</v>
      </c>
      <c r="C20" s="9" t="s">
        <v>404</v>
      </c>
      <c r="D20" s="8" t="s">
        <v>137</v>
      </c>
      <c r="E20" s="8" t="s">
        <v>138</v>
      </c>
      <c r="F20" s="10">
        <v>15.0</v>
      </c>
      <c r="G20" s="10">
        <f t="shared" si="1"/>
        <v>180</v>
      </c>
      <c r="H20" s="8" t="s">
        <v>407</v>
      </c>
      <c r="I20" s="8" t="s">
        <v>365</v>
      </c>
      <c r="J20" s="8" t="s">
        <v>141</v>
      </c>
      <c r="K20" s="8" t="s">
        <v>169</v>
      </c>
      <c r="L20" s="8"/>
      <c r="M20" s="8" t="s">
        <v>144</v>
      </c>
      <c r="N20" s="8" t="s">
        <v>170</v>
      </c>
      <c r="O20" s="8" t="s">
        <v>164</v>
      </c>
      <c r="P20" s="11">
        <v>0.0</v>
      </c>
      <c r="Q20" s="8" t="s">
        <v>410</v>
      </c>
      <c r="R20" s="8" t="s">
        <v>172</v>
      </c>
      <c r="S20" s="8" t="s">
        <v>173</v>
      </c>
      <c r="T20" s="8" t="s">
        <v>174</v>
      </c>
      <c r="U20" s="8" t="s">
        <v>173</v>
      </c>
      <c r="V20" s="8" t="s">
        <v>164</v>
      </c>
      <c r="W20" s="8"/>
      <c r="X20" s="8" t="s">
        <v>289</v>
      </c>
      <c r="Y20" s="8" t="s">
        <v>249</v>
      </c>
      <c r="Z20" s="8" t="s">
        <v>414</v>
      </c>
      <c r="AA20" s="8" t="s">
        <v>164</v>
      </c>
      <c r="AB20" s="8" t="s">
        <v>178</v>
      </c>
      <c r="AC20" s="8" t="s">
        <v>415</v>
      </c>
      <c r="AD20" s="8" t="s">
        <v>180</v>
      </c>
      <c r="AE20" s="8" t="s">
        <v>181</v>
      </c>
      <c r="AF20" s="8" t="s">
        <v>182</v>
      </c>
      <c r="AG20" s="8" t="s">
        <v>182</v>
      </c>
      <c r="AH20" s="8"/>
      <c r="AI20" s="8"/>
      <c r="AJ20" s="8" t="s">
        <v>418</v>
      </c>
      <c r="AK20" s="8" t="s">
        <v>141</v>
      </c>
      <c r="AL20" s="8" t="s">
        <v>419</v>
      </c>
    </row>
    <row r="21" ht="15.75" customHeight="1">
      <c r="A21" s="7">
        <v>20.0</v>
      </c>
      <c r="B21" s="8" t="s">
        <v>420</v>
      </c>
      <c r="C21" s="9" t="s">
        <v>422</v>
      </c>
      <c r="D21" s="8" t="s">
        <v>137</v>
      </c>
      <c r="E21" s="8" t="s">
        <v>138</v>
      </c>
      <c r="F21" s="10">
        <v>25.0</v>
      </c>
      <c r="G21" s="10">
        <f t="shared" si="1"/>
        <v>300</v>
      </c>
      <c r="H21" s="8" t="s">
        <v>425</v>
      </c>
      <c r="I21" s="8" t="s">
        <v>345</v>
      </c>
      <c r="J21" s="8" t="s">
        <v>221</v>
      </c>
      <c r="K21" s="8" t="s">
        <v>169</v>
      </c>
      <c r="L21" s="8" t="s">
        <v>143</v>
      </c>
      <c r="M21" s="8" t="s">
        <v>144</v>
      </c>
      <c r="N21" s="8" t="s">
        <v>145</v>
      </c>
      <c r="O21" s="8" t="s">
        <v>141</v>
      </c>
      <c r="P21" s="11">
        <v>0.4</v>
      </c>
      <c r="Q21" s="8" t="s">
        <v>428</v>
      </c>
      <c r="R21" s="8" t="s">
        <v>147</v>
      </c>
      <c r="S21" s="8" t="s">
        <v>148</v>
      </c>
      <c r="T21" s="8" t="s">
        <v>149</v>
      </c>
      <c r="U21" s="8" t="s">
        <v>150</v>
      </c>
      <c r="V21" s="8" t="s">
        <v>151</v>
      </c>
      <c r="W21" s="8" t="s">
        <v>152</v>
      </c>
      <c r="X21" s="8" t="s">
        <v>425</v>
      </c>
      <c r="Y21" s="8" t="s">
        <v>154</v>
      </c>
      <c r="Z21" s="8" t="s">
        <v>431</v>
      </c>
      <c r="AA21" s="8" t="s">
        <v>141</v>
      </c>
      <c r="AB21" s="8"/>
      <c r="AC21" s="8" t="s">
        <v>433</v>
      </c>
      <c r="AD21" s="8" t="s">
        <v>157</v>
      </c>
      <c r="AE21" s="8" t="s">
        <v>158</v>
      </c>
      <c r="AF21" s="8" t="s">
        <v>434</v>
      </c>
      <c r="AG21" s="8" t="s">
        <v>435</v>
      </c>
      <c r="AH21" s="8" t="s">
        <v>213</v>
      </c>
      <c r="AI21" s="8"/>
      <c r="AJ21" s="8" t="s">
        <v>436</v>
      </c>
      <c r="AK21" s="8" t="s">
        <v>164</v>
      </c>
      <c r="AL21" s="8"/>
    </row>
    <row r="22" ht="15.75" customHeight="1">
      <c r="A22" s="7">
        <v>21.0</v>
      </c>
      <c r="B22" s="8" t="s">
        <v>437</v>
      </c>
      <c r="C22" s="9" t="s">
        <v>438</v>
      </c>
      <c r="D22" s="8" t="s">
        <v>137</v>
      </c>
      <c r="E22" s="8" t="s">
        <v>138</v>
      </c>
      <c r="F22" s="10">
        <v>20.0</v>
      </c>
      <c r="G22" s="10">
        <f t="shared" si="1"/>
        <v>240</v>
      </c>
      <c r="H22" s="8" t="s">
        <v>167</v>
      </c>
      <c r="I22" s="8" t="s">
        <v>246</v>
      </c>
      <c r="J22" s="8" t="s">
        <v>141</v>
      </c>
      <c r="K22" s="8" t="s">
        <v>169</v>
      </c>
      <c r="L22" s="8" t="s">
        <v>143</v>
      </c>
      <c r="M22" s="8" t="s">
        <v>144</v>
      </c>
      <c r="N22" s="8" t="s">
        <v>145</v>
      </c>
      <c r="O22" s="8" t="s">
        <v>141</v>
      </c>
      <c r="P22" s="11">
        <v>0.6</v>
      </c>
      <c r="Q22" s="8" t="s">
        <v>439</v>
      </c>
      <c r="R22" s="8" t="s">
        <v>147</v>
      </c>
      <c r="S22" s="8" t="s">
        <v>148</v>
      </c>
      <c r="T22" s="8" t="s">
        <v>149</v>
      </c>
      <c r="U22" s="8" t="s">
        <v>150</v>
      </c>
      <c r="V22" s="8" t="s">
        <v>151</v>
      </c>
      <c r="W22" s="8" t="s">
        <v>152</v>
      </c>
      <c r="X22" s="8" t="s">
        <v>440</v>
      </c>
      <c r="Y22" s="8" t="s">
        <v>154</v>
      </c>
      <c r="Z22" s="8" t="s">
        <v>441</v>
      </c>
      <c r="AA22" s="8" t="s">
        <v>141</v>
      </c>
      <c r="AB22" s="8"/>
      <c r="AC22" s="8" t="s">
        <v>442</v>
      </c>
      <c r="AD22" s="8" t="s">
        <v>157</v>
      </c>
      <c r="AE22" s="8" t="s">
        <v>158</v>
      </c>
      <c r="AF22" s="8" t="s">
        <v>443</v>
      </c>
      <c r="AG22" s="8" t="s">
        <v>444</v>
      </c>
      <c r="AH22" s="8" t="s">
        <v>213</v>
      </c>
      <c r="AI22" s="8"/>
      <c r="AJ22" s="8" t="s">
        <v>445</v>
      </c>
      <c r="AK22" s="8" t="s">
        <v>141</v>
      </c>
      <c r="AL22" s="8" t="s">
        <v>446</v>
      </c>
    </row>
    <row r="23" ht="15.75" customHeight="1">
      <c r="A23" s="7">
        <v>22.0</v>
      </c>
      <c r="B23" s="8" t="s">
        <v>448</v>
      </c>
      <c r="C23" s="9" t="s">
        <v>449</v>
      </c>
      <c r="D23" s="8" t="s">
        <v>137</v>
      </c>
      <c r="E23" s="8" t="s">
        <v>138</v>
      </c>
      <c r="F23" s="10">
        <v>20.0</v>
      </c>
      <c r="G23" s="10">
        <f t="shared" si="1"/>
        <v>240</v>
      </c>
      <c r="H23" s="8" t="s">
        <v>451</v>
      </c>
      <c r="I23" s="8" t="s">
        <v>453</v>
      </c>
      <c r="J23" s="8" t="s">
        <v>141</v>
      </c>
      <c r="K23" s="8" t="s">
        <v>455</v>
      </c>
      <c r="L23" s="8" t="s">
        <v>303</v>
      </c>
      <c r="M23" s="8" t="s">
        <v>144</v>
      </c>
      <c r="N23" s="8" t="s">
        <v>145</v>
      </c>
      <c r="O23" s="8" t="s">
        <v>141</v>
      </c>
      <c r="P23" s="11">
        <v>0.3</v>
      </c>
      <c r="Q23" s="8" t="s">
        <v>456</v>
      </c>
      <c r="R23" s="8" t="s">
        <v>147</v>
      </c>
      <c r="S23" s="8" t="s">
        <v>148</v>
      </c>
      <c r="T23" s="8" t="s">
        <v>149</v>
      </c>
      <c r="U23" s="8" t="s">
        <v>150</v>
      </c>
      <c r="V23" s="8" t="s">
        <v>151</v>
      </c>
      <c r="W23" s="8" t="s">
        <v>152</v>
      </c>
      <c r="X23" s="8" t="s">
        <v>289</v>
      </c>
      <c r="Y23" s="8" t="s">
        <v>176</v>
      </c>
      <c r="Z23" s="8" t="s">
        <v>459</v>
      </c>
      <c r="AA23" s="8" t="s">
        <v>195</v>
      </c>
      <c r="AB23" s="8"/>
      <c r="AC23" s="8" t="s">
        <v>460</v>
      </c>
      <c r="AD23" s="8" t="s">
        <v>252</v>
      </c>
      <c r="AE23" s="8" t="s">
        <v>181</v>
      </c>
      <c r="AF23" s="8" t="s">
        <v>253</v>
      </c>
      <c r="AG23" s="8" t="s">
        <v>182</v>
      </c>
      <c r="AH23" s="8" t="s">
        <v>199</v>
      </c>
      <c r="AI23" s="8"/>
      <c r="AJ23" s="8" t="s">
        <v>461</v>
      </c>
      <c r="AK23" s="8" t="s">
        <v>164</v>
      </c>
      <c r="AL23" s="8"/>
    </row>
    <row r="24" ht="15.75" customHeight="1">
      <c r="A24" s="7">
        <v>23.0</v>
      </c>
      <c r="B24" s="8" t="s">
        <v>464</v>
      </c>
      <c r="C24" s="9" t="s">
        <v>466</v>
      </c>
      <c r="D24" s="8" t="s">
        <v>137</v>
      </c>
      <c r="E24" s="8" t="s">
        <v>138</v>
      </c>
      <c r="F24" s="10">
        <v>8.0</v>
      </c>
      <c r="G24" s="10">
        <f t="shared" si="1"/>
        <v>96</v>
      </c>
      <c r="H24" s="8" t="s">
        <v>467</v>
      </c>
      <c r="I24" s="8" t="s">
        <v>468</v>
      </c>
      <c r="J24" s="8" t="s">
        <v>164</v>
      </c>
      <c r="K24" s="8"/>
      <c r="L24" s="8"/>
      <c r="M24" s="8" t="s">
        <v>261</v>
      </c>
      <c r="N24" s="8" t="s">
        <v>170</v>
      </c>
      <c r="O24" s="8" t="s">
        <v>164</v>
      </c>
      <c r="P24" s="11"/>
      <c r="Q24" s="8"/>
      <c r="R24" s="8" t="s">
        <v>172</v>
      </c>
      <c r="S24" s="8" t="s">
        <v>474</v>
      </c>
      <c r="T24" s="8" t="s">
        <v>477</v>
      </c>
      <c r="U24" s="8" t="s">
        <v>474</v>
      </c>
      <c r="V24" s="8" t="s">
        <v>164</v>
      </c>
      <c r="W24" s="8"/>
      <c r="X24" s="8" t="s">
        <v>289</v>
      </c>
      <c r="Y24" s="8" t="s">
        <v>154</v>
      </c>
      <c r="Z24" s="8" t="s">
        <v>481</v>
      </c>
      <c r="AA24" s="8" t="s">
        <v>141</v>
      </c>
      <c r="AB24" s="8"/>
      <c r="AC24" s="8" t="s">
        <v>482</v>
      </c>
      <c r="AD24" s="8" t="s">
        <v>157</v>
      </c>
      <c r="AE24" s="8" t="s">
        <v>158</v>
      </c>
      <c r="AF24" s="8" t="s">
        <v>484</v>
      </c>
      <c r="AG24" s="8" t="s">
        <v>485</v>
      </c>
      <c r="AH24" s="8" t="s">
        <v>486</v>
      </c>
      <c r="AI24" s="8" t="s">
        <v>487</v>
      </c>
      <c r="AJ24" s="8" t="s">
        <v>489</v>
      </c>
      <c r="AK24" s="8" t="s">
        <v>141</v>
      </c>
      <c r="AL24" s="8" t="s">
        <v>492</v>
      </c>
    </row>
    <row r="25" ht="15.75" customHeight="1">
      <c r="A25" s="7">
        <v>24.0</v>
      </c>
      <c r="B25" s="8" t="s">
        <v>494</v>
      </c>
      <c r="C25" s="9" t="s">
        <v>495</v>
      </c>
      <c r="D25" s="8" t="s">
        <v>137</v>
      </c>
      <c r="E25" s="8" t="s">
        <v>138</v>
      </c>
      <c r="F25" s="10">
        <v>8.0</v>
      </c>
      <c r="G25" s="10">
        <f t="shared" si="1"/>
        <v>96</v>
      </c>
      <c r="H25" s="8" t="s">
        <v>501</v>
      </c>
      <c r="I25" s="8" t="s">
        <v>504</v>
      </c>
      <c r="J25" s="8" t="s">
        <v>164</v>
      </c>
      <c r="K25" s="8"/>
      <c r="L25" s="8"/>
      <c r="M25" s="8" t="s">
        <v>261</v>
      </c>
      <c r="N25" s="8" t="s">
        <v>170</v>
      </c>
      <c r="O25" s="8" t="s">
        <v>164</v>
      </c>
      <c r="P25" s="11"/>
      <c r="Q25" s="8"/>
      <c r="R25" s="8" t="s">
        <v>172</v>
      </c>
      <c r="S25" s="8" t="s">
        <v>173</v>
      </c>
      <c r="T25" s="8" t="s">
        <v>174</v>
      </c>
      <c r="U25" s="8" t="s">
        <v>173</v>
      </c>
      <c r="V25" s="8" t="s">
        <v>164</v>
      </c>
      <c r="W25" s="8"/>
      <c r="X25" s="8" t="s">
        <v>289</v>
      </c>
      <c r="Y25" s="8" t="s">
        <v>176</v>
      </c>
      <c r="Z25" s="8" t="s">
        <v>513</v>
      </c>
      <c r="AA25" s="8" t="s">
        <v>195</v>
      </c>
      <c r="AB25" s="8" t="s">
        <v>518</v>
      </c>
      <c r="AC25" s="8" t="s">
        <v>519</v>
      </c>
      <c r="AD25" s="8" t="s">
        <v>252</v>
      </c>
      <c r="AE25" s="8" t="s">
        <v>181</v>
      </c>
      <c r="AF25" s="8" t="s">
        <v>253</v>
      </c>
      <c r="AG25" s="8" t="s">
        <v>525</v>
      </c>
      <c r="AH25" s="8" t="s">
        <v>486</v>
      </c>
      <c r="AI25" s="8"/>
      <c r="AJ25" s="8" t="s">
        <v>528</v>
      </c>
      <c r="AK25" s="8" t="s">
        <v>141</v>
      </c>
      <c r="AL25" s="8" t="s">
        <v>532</v>
      </c>
    </row>
    <row r="26" ht="15.75" customHeight="1">
      <c r="A26" s="7">
        <v>25.0</v>
      </c>
      <c r="B26" s="8" t="s">
        <v>533</v>
      </c>
      <c r="C26" s="9" t="s">
        <v>542</v>
      </c>
      <c r="D26" s="8" t="s">
        <v>137</v>
      </c>
      <c r="E26" s="8" t="s">
        <v>138</v>
      </c>
      <c r="F26" s="10">
        <v>10.0</v>
      </c>
      <c r="G26" s="10">
        <f t="shared" si="1"/>
        <v>120</v>
      </c>
      <c r="H26" s="8" t="s">
        <v>548</v>
      </c>
      <c r="I26" s="8" t="s">
        <v>550</v>
      </c>
      <c r="J26" s="8" t="s">
        <v>164</v>
      </c>
      <c r="K26" s="8"/>
      <c r="L26" s="8"/>
      <c r="M26" s="8" t="s">
        <v>261</v>
      </c>
      <c r="N26" s="8" t="s">
        <v>170</v>
      </c>
      <c r="O26" s="8" t="s">
        <v>164</v>
      </c>
      <c r="P26" s="11"/>
      <c r="Q26" s="8"/>
      <c r="R26" s="8" t="s">
        <v>172</v>
      </c>
      <c r="S26" s="8" t="s">
        <v>173</v>
      </c>
      <c r="T26" s="8" t="s">
        <v>174</v>
      </c>
      <c r="U26" s="8" t="s">
        <v>173</v>
      </c>
      <c r="V26" s="8" t="s">
        <v>164</v>
      </c>
      <c r="W26" s="8"/>
      <c r="X26" s="8" t="s">
        <v>289</v>
      </c>
      <c r="Y26" s="8" t="s">
        <v>176</v>
      </c>
      <c r="Z26" s="8" t="s">
        <v>561</v>
      </c>
      <c r="AA26" s="8" t="s">
        <v>195</v>
      </c>
      <c r="AB26" s="8" t="s">
        <v>518</v>
      </c>
      <c r="AC26" s="8" t="s">
        <v>564</v>
      </c>
      <c r="AD26" s="8" t="s">
        <v>252</v>
      </c>
      <c r="AE26" s="8" t="s">
        <v>181</v>
      </c>
      <c r="AF26" s="8" t="s">
        <v>253</v>
      </c>
      <c r="AG26" s="8" t="s">
        <v>182</v>
      </c>
      <c r="AH26" s="8" t="s">
        <v>486</v>
      </c>
      <c r="AI26" s="8"/>
      <c r="AJ26" s="8" t="s">
        <v>570</v>
      </c>
      <c r="AK26" s="8" t="s">
        <v>141</v>
      </c>
      <c r="AL26" s="8" t="s">
        <v>573</v>
      </c>
    </row>
    <row r="27" ht="15.75" customHeight="1">
      <c r="A27" s="7">
        <v>26.0</v>
      </c>
      <c r="B27" s="8" t="s">
        <v>576</v>
      </c>
      <c r="C27" s="9" t="s">
        <v>577</v>
      </c>
      <c r="D27" s="8" t="s">
        <v>137</v>
      </c>
      <c r="E27" s="8" t="s">
        <v>138</v>
      </c>
      <c r="F27" s="10">
        <v>8.0</v>
      </c>
      <c r="G27" s="10">
        <f t="shared" si="1"/>
        <v>96</v>
      </c>
      <c r="H27" s="8" t="s">
        <v>581</v>
      </c>
      <c r="I27" s="8" t="s">
        <v>582</v>
      </c>
      <c r="J27" s="8" t="s">
        <v>164</v>
      </c>
      <c r="K27" s="8"/>
      <c r="L27" s="8"/>
      <c r="M27" s="8" t="s">
        <v>261</v>
      </c>
      <c r="N27" s="8" t="s">
        <v>170</v>
      </c>
      <c r="O27" s="8" t="s">
        <v>164</v>
      </c>
      <c r="P27" s="11"/>
      <c r="Q27" s="8"/>
      <c r="R27" s="8" t="s">
        <v>172</v>
      </c>
      <c r="S27" s="8" t="s">
        <v>586</v>
      </c>
      <c r="T27" s="8" t="s">
        <v>39</v>
      </c>
      <c r="U27" s="8" t="s">
        <v>586</v>
      </c>
      <c r="V27" s="8" t="s">
        <v>164</v>
      </c>
      <c r="W27" s="8"/>
      <c r="X27" s="8" t="s">
        <v>289</v>
      </c>
      <c r="Y27" s="8" t="s">
        <v>589</v>
      </c>
      <c r="Z27" s="8" t="s">
        <v>590</v>
      </c>
      <c r="AA27" s="8" t="s">
        <v>141</v>
      </c>
      <c r="AB27" s="8"/>
      <c r="AC27" s="8" t="s">
        <v>591</v>
      </c>
      <c r="AD27" s="8" t="s">
        <v>180</v>
      </c>
      <c r="AE27" s="8" t="s">
        <v>181</v>
      </c>
      <c r="AF27" s="8" t="s">
        <v>182</v>
      </c>
      <c r="AG27" s="8" t="s">
        <v>182</v>
      </c>
      <c r="AH27" s="8"/>
      <c r="AI27" s="8" t="s">
        <v>592</v>
      </c>
      <c r="AJ27" s="8" t="s">
        <v>594</v>
      </c>
      <c r="AK27" s="8" t="s">
        <v>141</v>
      </c>
      <c r="AL27" s="8" t="s">
        <v>596</v>
      </c>
    </row>
    <row r="28" ht="15.75" customHeight="1">
      <c r="A28" s="7">
        <v>27.0</v>
      </c>
      <c r="B28" s="8" t="s">
        <v>598</v>
      </c>
      <c r="C28" s="9" t="s">
        <v>599</v>
      </c>
      <c r="D28" s="8" t="s">
        <v>137</v>
      </c>
      <c r="E28" s="8" t="s">
        <v>138</v>
      </c>
      <c r="F28" s="10">
        <v>15.0</v>
      </c>
      <c r="G28" s="10">
        <f t="shared" si="1"/>
        <v>180</v>
      </c>
      <c r="H28" s="8" t="s">
        <v>548</v>
      </c>
      <c r="I28" s="8" t="s">
        <v>603</v>
      </c>
      <c r="J28" s="8" t="s">
        <v>164</v>
      </c>
      <c r="K28" s="8"/>
      <c r="L28" s="8"/>
      <c r="M28" s="8" t="s">
        <v>261</v>
      </c>
      <c r="N28" s="8" t="s">
        <v>170</v>
      </c>
      <c r="O28" s="8" t="s">
        <v>164</v>
      </c>
      <c r="P28" s="11"/>
      <c r="Q28" s="8"/>
      <c r="R28" s="8" t="s">
        <v>172</v>
      </c>
      <c r="S28" s="8" t="s">
        <v>474</v>
      </c>
      <c r="T28" s="8" t="s">
        <v>477</v>
      </c>
      <c r="U28" s="8" t="s">
        <v>474</v>
      </c>
      <c r="V28" s="8" t="s">
        <v>164</v>
      </c>
      <c r="W28" s="8"/>
      <c r="X28" s="8" t="s">
        <v>289</v>
      </c>
      <c r="Y28" s="8" t="s">
        <v>193</v>
      </c>
      <c r="Z28" s="8" t="s">
        <v>610</v>
      </c>
      <c r="AA28" s="8" t="s">
        <v>195</v>
      </c>
      <c r="AB28" s="8"/>
      <c r="AC28" s="8" t="s">
        <v>612</v>
      </c>
      <c r="AD28" s="8" t="s">
        <v>252</v>
      </c>
      <c r="AE28" s="8" t="s">
        <v>181</v>
      </c>
      <c r="AF28" s="8" t="s">
        <v>253</v>
      </c>
      <c r="AG28" s="8" t="s">
        <v>182</v>
      </c>
      <c r="AH28" s="8" t="s">
        <v>486</v>
      </c>
      <c r="AI28" s="8"/>
      <c r="AJ28" s="8" t="s">
        <v>616</v>
      </c>
      <c r="AK28" s="8" t="s">
        <v>164</v>
      </c>
      <c r="AL28" s="8"/>
    </row>
    <row r="29" ht="15.75" customHeight="1">
      <c r="A29" s="7">
        <v>28.0</v>
      </c>
      <c r="B29" s="8" t="s">
        <v>619</v>
      </c>
      <c r="C29" s="9" t="s">
        <v>620</v>
      </c>
      <c r="D29" s="8" t="s">
        <v>137</v>
      </c>
      <c r="E29" s="8" t="s">
        <v>138</v>
      </c>
      <c r="F29" s="10">
        <v>20.0</v>
      </c>
      <c r="G29" s="10">
        <f t="shared" si="1"/>
        <v>240</v>
      </c>
      <c r="H29" s="8" t="s">
        <v>623</v>
      </c>
      <c r="I29" s="8" t="s">
        <v>624</v>
      </c>
      <c r="J29" s="8" t="s">
        <v>164</v>
      </c>
      <c r="K29" s="8"/>
      <c r="L29" s="8"/>
      <c r="M29" s="8" t="s">
        <v>261</v>
      </c>
      <c r="N29" s="8" t="s">
        <v>170</v>
      </c>
      <c r="O29" s="8" t="s">
        <v>164</v>
      </c>
      <c r="P29" s="11"/>
      <c r="Q29" s="8"/>
      <c r="R29" s="8" t="s">
        <v>172</v>
      </c>
      <c r="S29" s="8" t="s">
        <v>474</v>
      </c>
      <c r="T29" s="8" t="s">
        <v>477</v>
      </c>
      <c r="U29" s="8" t="s">
        <v>474</v>
      </c>
      <c r="V29" s="8" t="s">
        <v>164</v>
      </c>
      <c r="W29" s="8"/>
      <c r="X29" s="8" t="s">
        <v>629</v>
      </c>
      <c r="Y29" s="8" t="s">
        <v>154</v>
      </c>
      <c r="Z29" s="8" t="s">
        <v>630</v>
      </c>
      <c r="AA29" s="8" t="s">
        <v>141</v>
      </c>
      <c r="AB29" s="8"/>
      <c r="AC29" s="8" t="s">
        <v>631</v>
      </c>
      <c r="AD29" s="8" t="s">
        <v>157</v>
      </c>
      <c r="AE29" s="8" t="s">
        <v>158</v>
      </c>
      <c r="AF29" s="8" t="s">
        <v>632</v>
      </c>
      <c r="AG29" s="8" t="s">
        <v>633</v>
      </c>
      <c r="AH29" s="8" t="s">
        <v>634</v>
      </c>
      <c r="AI29" s="8" t="s">
        <v>635</v>
      </c>
      <c r="AJ29" s="8" t="s">
        <v>636</v>
      </c>
      <c r="AK29" s="8" t="s">
        <v>141</v>
      </c>
      <c r="AL29" s="8" t="s">
        <v>637</v>
      </c>
    </row>
    <row r="30" ht="15.75" customHeight="1">
      <c r="A30" s="7">
        <v>29.0</v>
      </c>
      <c r="B30" s="8" t="s">
        <v>638</v>
      </c>
      <c r="C30" s="9" t="s">
        <v>639</v>
      </c>
      <c r="D30" s="8" t="s">
        <v>137</v>
      </c>
      <c r="E30" s="8" t="s">
        <v>138</v>
      </c>
      <c r="F30" s="10">
        <v>30.0</v>
      </c>
      <c r="G30" s="10">
        <f t="shared" si="1"/>
        <v>360</v>
      </c>
      <c r="H30" s="8" t="s">
        <v>642</v>
      </c>
      <c r="I30" s="8" t="s">
        <v>643</v>
      </c>
      <c r="J30" s="8" t="s">
        <v>164</v>
      </c>
      <c r="K30" s="8"/>
      <c r="L30" s="8"/>
      <c r="M30" s="8" t="s">
        <v>261</v>
      </c>
      <c r="N30" s="8" t="s">
        <v>170</v>
      </c>
      <c r="O30" s="8" t="s">
        <v>164</v>
      </c>
      <c r="P30" s="11"/>
      <c r="Q30" s="8"/>
      <c r="R30" s="8" t="s">
        <v>172</v>
      </c>
      <c r="S30" s="8" t="s">
        <v>173</v>
      </c>
      <c r="T30" s="8" t="s">
        <v>174</v>
      </c>
      <c r="U30" s="8" t="s">
        <v>173</v>
      </c>
      <c r="V30" s="8" t="s">
        <v>164</v>
      </c>
      <c r="W30" s="8"/>
      <c r="X30" s="8" t="s">
        <v>649</v>
      </c>
      <c r="Y30" s="8" t="s">
        <v>154</v>
      </c>
      <c r="Z30" s="8" t="s">
        <v>651</v>
      </c>
      <c r="AA30" s="8" t="s">
        <v>141</v>
      </c>
      <c r="AB30" s="8" t="s">
        <v>653</v>
      </c>
      <c r="AC30" s="8" t="s">
        <v>654</v>
      </c>
      <c r="AD30" s="8" t="s">
        <v>157</v>
      </c>
      <c r="AE30" s="8" t="s">
        <v>158</v>
      </c>
      <c r="AF30" s="8" t="s">
        <v>656</v>
      </c>
      <c r="AG30" s="8" t="s">
        <v>658</v>
      </c>
      <c r="AH30" s="8" t="s">
        <v>634</v>
      </c>
      <c r="AI30" s="8"/>
      <c r="AJ30" s="8" t="s">
        <v>660</v>
      </c>
      <c r="AK30" s="8" t="s">
        <v>141</v>
      </c>
      <c r="AL30" s="8" t="s">
        <v>662</v>
      </c>
    </row>
    <row r="31" ht="15.75" customHeight="1">
      <c r="A31" s="7">
        <v>30.0</v>
      </c>
      <c r="B31" s="8" t="s">
        <v>664</v>
      </c>
      <c r="C31" s="9" t="s">
        <v>665</v>
      </c>
      <c r="D31" s="8" t="s">
        <v>137</v>
      </c>
      <c r="E31" s="8" t="s">
        <v>138</v>
      </c>
      <c r="F31" s="10">
        <v>12.0</v>
      </c>
      <c r="G31" s="10">
        <f t="shared" si="1"/>
        <v>144</v>
      </c>
      <c r="H31" s="8" t="s">
        <v>669</v>
      </c>
      <c r="I31" s="8" t="s">
        <v>670</v>
      </c>
      <c r="J31" s="8" t="s">
        <v>164</v>
      </c>
      <c r="K31" s="8"/>
      <c r="L31" s="8"/>
      <c r="M31" s="8" t="s">
        <v>261</v>
      </c>
      <c r="N31" s="8" t="s">
        <v>170</v>
      </c>
      <c r="O31" s="8" t="s">
        <v>164</v>
      </c>
      <c r="P31" s="11"/>
      <c r="Q31" s="8"/>
      <c r="R31" s="8" t="s">
        <v>172</v>
      </c>
      <c r="S31" s="8" t="s">
        <v>173</v>
      </c>
      <c r="T31" s="8" t="s">
        <v>174</v>
      </c>
      <c r="U31" s="8" t="s">
        <v>173</v>
      </c>
      <c r="V31" s="8" t="s">
        <v>164</v>
      </c>
      <c r="W31" s="8"/>
      <c r="X31" s="8" t="s">
        <v>289</v>
      </c>
      <c r="Y31" s="8" t="s">
        <v>176</v>
      </c>
      <c r="Z31" s="8" t="s">
        <v>672</v>
      </c>
      <c r="AA31" s="8" t="s">
        <v>195</v>
      </c>
      <c r="AB31" s="8" t="s">
        <v>673</v>
      </c>
      <c r="AC31" s="8" t="s">
        <v>674</v>
      </c>
      <c r="AD31" s="8" t="s">
        <v>252</v>
      </c>
      <c r="AE31" s="8" t="s">
        <v>181</v>
      </c>
      <c r="AF31" s="8" t="s">
        <v>253</v>
      </c>
      <c r="AG31" s="8" t="s">
        <v>182</v>
      </c>
      <c r="AH31" s="8" t="s">
        <v>634</v>
      </c>
      <c r="AI31" s="8"/>
      <c r="AJ31" s="8" t="s">
        <v>675</v>
      </c>
      <c r="AK31" s="8" t="s">
        <v>141</v>
      </c>
      <c r="AL31" s="8" t="s">
        <v>676</v>
      </c>
    </row>
    <row r="32" ht="15.75" customHeight="1">
      <c r="A32" s="7">
        <v>31.0</v>
      </c>
      <c r="B32" s="8" t="s">
        <v>677</v>
      </c>
      <c r="C32" s="9" t="s">
        <v>678</v>
      </c>
      <c r="D32" s="8" t="s">
        <v>137</v>
      </c>
      <c r="E32" s="8" t="s">
        <v>138</v>
      </c>
      <c r="F32" s="10">
        <v>14.0</v>
      </c>
      <c r="G32" s="10">
        <f t="shared" si="1"/>
        <v>168</v>
      </c>
      <c r="H32" s="8" t="s">
        <v>679</v>
      </c>
      <c r="I32" s="8" t="s">
        <v>680</v>
      </c>
      <c r="J32" s="8" t="s">
        <v>164</v>
      </c>
      <c r="K32" s="8"/>
      <c r="L32" s="8"/>
      <c r="M32" s="8" t="s">
        <v>261</v>
      </c>
      <c r="N32" s="8" t="s">
        <v>170</v>
      </c>
      <c r="O32" s="8" t="s">
        <v>164</v>
      </c>
      <c r="P32" s="11"/>
      <c r="Q32" s="8"/>
      <c r="R32" s="8" t="s">
        <v>172</v>
      </c>
      <c r="S32" s="8" t="s">
        <v>474</v>
      </c>
      <c r="T32" s="8" t="s">
        <v>477</v>
      </c>
      <c r="U32" s="8" t="s">
        <v>474</v>
      </c>
      <c r="V32" s="8" t="s">
        <v>164</v>
      </c>
      <c r="W32" s="8"/>
      <c r="X32" s="8" t="s">
        <v>686</v>
      </c>
      <c r="Y32" s="8" t="s">
        <v>589</v>
      </c>
      <c r="Z32" s="8" t="s">
        <v>688</v>
      </c>
      <c r="AA32" s="8" t="s">
        <v>141</v>
      </c>
      <c r="AB32" s="8"/>
      <c r="AC32" s="8" t="s">
        <v>689</v>
      </c>
      <c r="AD32" s="8" t="s">
        <v>157</v>
      </c>
      <c r="AE32" s="8" t="s">
        <v>158</v>
      </c>
      <c r="AF32" s="8" t="s">
        <v>690</v>
      </c>
      <c r="AG32" s="8" t="s">
        <v>692</v>
      </c>
      <c r="AH32" s="8"/>
      <c r="AI32" s="8" t="s">
        <v>694</v>
      </c>
      <c r="AJ32" s="8" t="s">
        <v>695</v>
      </c>
      <c r="AK32" s="8" t="s">
        <v>141</v>
      </c>
      <c r="AL32" s="8" t="s">
        <v>696</v>
      </c>
    </row>
    <row r="33" ht="15.75" customHeight="1">
      <c r="A33" s="7">
        <v>32.0</v>
      </c>
      <c r="B33" s="8" t="s">
        <v>697</v>
      </c>
      <c r="C33" s="9" t="s">
        <v>698</v>
      </c>
      <c r="D33" s="8" t="s">
        <v>137</v>
      </c>
      <c r="E33" s="8" t="s">
        <v>138</v>
      </c>
      <c r="F33" s="10">
        <v>40.0</v>
      </c>
      <c r="G33" s="10">
        <f t="shared" si="1"/>
        <v>480</v>
      </c>
      <c r="H33" s="8" t="s">
        <v>699</v>
      </c>
      <c r="I33" s="8" t="s">
        <v>700</v>
      </c>
      <c r="J33" s="8" t="s">
        <v>164</v>
      </c>
      <c r="K33" s="8"/>
      <c r="L33" s="8"/>
      <c r="M33" s="8" t="s">
        <v>261</v>
      </c>
      <c r="N33" s="8" t="s">
        <v>170</v>
      </c>
      <c r="O33" s="8" t="s">
        <v>164</v>
      </c>
      <c r="P33" s="11"/>
      <c r="Q33" s="8"/>
      <c r="R33" s="8" t="s">
        <v>172</v>
      </c>
      <c r="S33" s="8" t="s">
        <v>474</v>
      </c>
      <c r="T33" s="8" t="s">
        <v>477</v>
      </c>
      <c r="U33" s="8" t="s">
        <v>474</v>
      </c>
      <c r="V33" s="8" t="s">
        <v>164</v>
      </c>
      <c r="W33" s="8"/>
      <c r="X33" s="8" t="s">
        <v>289</v>
      </c>
      <c r="Y33" s="8" t="s">
        <v>589</v>
      </c>
      <c r="Z33" s="8" t="s">
        <v>701</v>
      </c>
      <c r="AA33" s="8" t="s">
        <v>141</v>
      </c>
      <c r="AB33" s="8"/>
      <c r="AC33" s="8" t="s">
        <v>702</v>
      </c>
      <c r="AD33" s="8" t="s">
        <v>180</v>
      </c>
      <c r="AE33" s="8" t="s">
        <v>181</v>
      </c>
      <c r="AF33" s="8" t="s">
        <v>182</v>
      </c>
      <c r="AG33" s="8" t="s">
        <v>703</v>
      </c>
      <c r="AH33" s="8"/>
      <c r="AI33" s="8"/>
      <c r="AJ33" s="8" t="s">
        <v>704</v>
      </c>
      <c r="AK33" s="8" t="s">
        <v>164</v>
      </c>
      <c r="AL33" s="8"/>
    </row>
    <row r="34" ht="15.75" customHeight="1">
      <c r="A34" s="7">
        <v>33.0</v>
      </c>
      <c r="B34" s="8" t="s">
        <v>705</v>
      </c>
      <c r="C34" s="9" t="s">
        <v>706</v>
      </c>
      <c r="D34" s="8" t="s">
        <v>137</v>
      </c>
      <c r="E34" s="8" t="s">
        <v>138</v>
      </c>
      <c r="F34" s="10">
        <v>25.0</v>
      </c>
      <c r="G34" s="10">
        <f t="shared" si="1"/>
        <v>300</v>
      </c>
      <c r="H34" s="8" t="s">
        <v>707</v>
      </c>
      <c r="I34" s="8" t="s">
        <v>708</v>
      </c>
      <c r="J34" s="8" t="s">
        <v>164</v>
      </c>
      <c r="K34" s="8"/>
      <c r="L34" s="8"/>
      <c r="M34" s="8" t="s">
        <v>261</v>
      </c>
      <c r="N34" s="8" t="s">
        <v>170</v>
      </c>
      <c r="O34" s="8" t="s">
        <v>164</v>
      </c>
      <c r="P34" s="11"/>
      <c r="Q34" s="8"/>
      <c r="R34" s="8" t="s">
        <v>172</v>
      </c>
      <c r="S34" s="8" t="s">
        <v>173</v>
      </c>
      <c r="T34" s="8" t="s">
        <v>174</v>
      </c>
      <c r="U34" s="8" t="s">
        <v>173</v>
      </c>
      <c r="V34" s="8" t="s">
        <v>164</v>
      </c>
      <c r="W34" s="8"/>
      <c r="X34" s="8" t="s">
        <v>289</v>
      </c>
      <c r="Y34" s="8" t="s">
        <v>176</v>
      </c>
      <c r="Z34" s="8" t="s">
        <v>709</v>
      </c>
      <c r="AA34" s="8" t="s">
        <v>195</v>
      </c>
      <c r="AB34" s="8" t="s">
        <v>518</v>
      </c>
      <c r="AC34" s="8" t="s">
        <v>710</v>
      </c>
      <c r="AD34" s="8" t="s">
        <v>180</v>
      </c>
      <c r="AE34" s="8" t="s">
        <v>181</v>
      </c>
      <c r="AF34" s="8" t="s">
        <v>182</v>
      </c>
      <c r="AG34" s="8" t="s">
        <v>182</v>
      </c>
      <c r="AH34" s="8"/>
      <c r="AI34" s="8"/>
      <c r="AJ34" s="8" t="s">
        <v>711</v>
      </c>
      <c r="AK34" s="8" t="s">
        <v>141</v>
      </c>
      <c r="AL34" s="8" t="s">
        <v>712</v>
      </c>
    </row>
    <row r="35" ht="15.75" customHeight="1">
      <c r="A35" s="7">
        <v>34.0</v>
      </c>
      <c r="B35" s="8" t="s">
        <v>713</v>
      </c>
      <c r="C35" s="9" t="s">
        <v>714</v>
      </c>
      <c r="D35" s="8" t="s">
        <v>137</v>
      </c>
      <c r="E35" s="8" t="s">
        <v>138</v>
      </c>
      <c r="F35" s="10">
        <v>20.0</v>
      </c>
      <c r="G35" s="10">
        <f t="shared" si="1"/>
        <v>240</v>
      </c>
      <c r="H35" s="8" t="s">
        <v>715</v>
      </c>
      <c r="I35" s="8" t="s">
        <v>716</v>
      </c>
      <c r="J35" s="8" t="s">
        <v>164</v>
      </c>
      <c r="K35" s="8"/>
      <c r="L35" s="8"/>
      <c r="M35" s="8" t="s">
        <v>261</v>
      </c>
      <c r="N35" s="8" t="s">
        <v>170</v>
      </c>
      <c r="O35" s="8" t="s">
        <v>164</v>
      </c>
      <c r="P35" s="11"/>
      <c r="Q35" s="8"/>
      <c r="R35" s="8" t="s">
        <v>172</v>
      </c>
      <c r="S35" s="8" t="s">
        <v>173</v>
      </c>
      <c r="T35" s="8" t="s">
        <v>174</v>
      </c>
      <c r="U35" s="8" t="s">
        <v>173</v>
      </c>
      <c r="V35" s="8" t="s">
        <v>164</v>
      </c>
      <c r="W35" s="8"/>
      <c r="X35" s="8" t="s">
        <v>289</v>
      </c>
      <c r="Y35" s="8" t="s">
        <v>176</v>
      </c>
      <c r="Z35" s="8" t="s">
        <v>717</v>
      </c>
      <c r="AA35" s="8" t="s">
        <v>195</v>
      </c>
      <c r="AB35" s="8" t="s">
        <v>518</v>
      </c>
      <c r="AC35" s="8" t="s">
        <v>718</v>
      </c>
      <c r="AD35" s="8" t="s">
        <v>180</v>
      </c>
      <c r="AE35" s="8" t="s">
        <v>181</v>
      </c>
      <c r="AF35" s="8" t="s">
        <v>182</v>
      </c>
      <c r="AG35" s="8" t="s">
        <v>182</v>
      </c>
      <c r="AH35" s="8"/>
      <c r="AI35" s="8"/>
      <c r="AJ35" s="8" t="s">
        <v>719</v>
      </c>
      <c r="AK35" s="8" t="s">
        <v>141</v>
      </c>
      <c r="AL35" s="8" t="s">
        <v>720</v>
      </c>
    </row>
    <row r="36" ht="15.75" customHeight="1">
      <c r="A36" s="7">
        <v>35.0</v>
      </c>
      <c r="B36" s="8" t="s">
        <v>721</v>
      </c>
      <c r="C36" s="9" t="s">
        <v>722</v>
      </c>
      <c r="D36" s="8" t="s">
        <v>137</v>
      </c>
      <c r="E36" s="8" t="s">
        <v>138</v>
      </c>
      <c r="F36" s="10">
        <v>20.0</v>
      </c>
      <c r="G36" s="10">
        <f t="shared" si="1"/>
        <v>240</v>
      </c>
      <c r="H36" s="8" t="s">
        <v>723</v>
      </c>
      <c r="I36" s="8" t="s">
        <v>724</v>
      </c>
      <c r="J36" s="8" t="s">
        <v>164</v>
      </c>
      <c r="K36" s="8"/>
      <c r="L36" s="8"/>
      <c r="M36" s="8" t="s">
        <v>261</v>
      </c>
      <c r="N36" s="8" t="s">
        <v>170</v>
      </c>
      <c r="O36" s="8" t="s">
        <v>164</v>
      </c>
      <c r="P36" s="11"/>
      <c r="Q36" s="8"/>
      <c r="R36" s="8" t="s">
        <v>172</v>
      </c>
      <c r="S36" s="8" t="s">
        <v>474</v>
      </c>
      <c r="T36" s="8" t="s">
        <v>477</v>
      </c>
      <c r="U36" s="8" t="s">
        <v>474</v>
      </c>
      <c r="V36" s="8" t="s">
        <v>164</v>
      </c>
      <c r="W36" s="8"/>
      <c r="X36" s="8" t="s">
        <v>236</v>
      </c>
      <c r="Y36" s="8" t="s">
        <v>589</v>
      </c>
      <c r="Z36" s="8" t="s">
        <v>725</v>
      </c>
      <c r="AA36" s="8" t="s">
        <v>141</v>
      </c>
      <c r="AB36" s="8"/>
      <c r="AC36" s="8" t="s">
        <v>726</v>
      </c>
      <c r="AD36" s="8" t="s">
        <v>157</v>
      </c>
      <c r="AE36" s="8" t="s">
        <v>158</v>
      </c>
      <c r="AF36" s="8" t="s">
        <v>727</v>
      </c>
      <c r="AG36" s="8" t="s">
        <v>728</v>
      </c>
      <c r="AH36" s="8"/>
      <c r="AI36" s="8"/>
      <c r="AJ36" s="8" t="s">
        <v>729</v>
      </c>
      <c r="AK36" s="8" t="s">
        <v>164</v>
      </c>
      <c r="AL36" s="8"/>
    </row>
    <row r="37" ht="15.75" customHeight="1">
      <c r="A37" s="7">
        <v>36.0</v>
      </c>
      <c r="B37" s="8" t="s">
        <v>730</v>
      </c>
      <c r="C37" s="9" t="s">
        <v>402</v>
      </c>
      <c r="D37" s="8" t="s">
        <v>137</v>
      </c>
      <c r="E37" s="8" t="s">
        <v>138</v>
      </c>
      <c r="F37" s="10">
        <v>35.0</v>
      </c>
      <c r="G37" s="10">
        <f t="shared" si="1"/>
        <v>420</v>
      </c>
      <c r="H37" s="8" t="s">
        <v>731</v>
      </c>
      <c r="I37" s="8" t="s">
        <v>732</v>
      </c>
      <c r="J37" s="8" t="s">
        <v>141</v>
      </c>
      <c r="K37" s="8" t="s">
        <v>387</v>
      </c>
      <c r="L37" s="8" t="s">
        <v>733</v>
      </c>
      <c r="M37" s="8" t="s">
        <v>144</v>
      </c>
      <c r="N37" s="8" t="s">
        <v>145</v>
      </c>
      <c r="O37" s="8" t="s">
        <v>141</v>
      </c>
      <c r="P37" s="11">
        <v>0.9</v>
      </c>
      <c r="Q37" s="8" t="s">
        <v>405</v>
      </c>
      <c r="R37" s="8" t="s">
        <v>207</v>
      </c>
      <c r="S37" s="8" t="s">
        <v>148</v>
      </c>
      <c r="T37" s="8" t="s">
        <v>149</v>
      </c>
      <c r="U37" s="8" t="s">
        <v>148</v>
      </c>
      <c r="V37" s="8" t="s">
        <v>151</v>
      </c>
      <c r="W37" s="8" t="s">
        <v>152</v>
      </c>
      <c r="X37" s="8" t="s">
        <v>289</v>
      </c>
      <c r="Y37" s="8" t="s">
        <v>154</v>
      </c>
      <c r="Z37" s="8" t="s">
        <v>734</v>
      </c>
      <c r="AA37" s="8" t="s">
        <v>141</v>
      </c>
      <c r="AB37" s="8"/>
      <c r="AC37" s="8" t="s">
        <v>735</v>
      </c>
      <c r="AD37" s="8" t="s">
        <v>252</v>
      </c>
      <c r="AE37" s="8" t="s">
        <v>181</v>
      </c>
      <c r="AF37" s="8" t="s">
        <v>253</v>
      </c>
      <c r="AG37" s="8" t="s">
        <v>182</v>
      </c>
      <c r="AH37" s="8" t="s">
        <v>736</v>
      </c>
      <c r="AI37" s="8"/>
      <c r="AJ37" s="8" t="s">
        <v>737</v>
      </c>
      <c r="AK37" s="8" t="s">
        <v>164</v>
      </c>
      <c r="AL37" s="8"/>
    </row>
    <row r="38" ht="15.75" customHeight="1">
      <c r="A38" s="7">
        <v>37.0</v>
      </c>
      <c r="B38" s="8" t="s">
        <v>738</v>
      </c>
      <c r="C38" s="9" t="s">
        <v>739</v>
      </c>
      <c r="D38" s="8" t="s">
        <v>137</v>
      </c>
      <c r="E38" s="8" t="s">
        <v>138</v>
      </c>
      <c r="F38" s="10">
        <v>45.0</v>
      </c>
      <c r="G38" s="10">
        <f t="shared" si="1"/>
        <v>540</v>
      </c>
      <c r="H38" s="8" t="s">
        <v>740</v>
      </c>
      <c r="I38" s="8" t="s">
        <v>741</v>
      </c>
      <c r="J38" s="8" t="s">
        <v>221</v>
      </c>
      <c r="K38" s="8" t="s">
        <v>743</v>
      </c>
      <c r="L38" s="8"/>
      <c r="M38" s="8" t="s">
        <v>144</v>
      </c>
      <c r="N38" s="8" t="s">
        <v>145</v>
      </c>
      <c r="O38" s="8" t="s">
        <v>141</v>
      </c>
      <c r="P38" s="11">
        <v>0.1</v>
      </c>
      <c r="Q38" s="8" t="s">
        <v>744</v>
      </c>
      <c r="R38" s="8" t="s">
        <v>172</v>
      </c>
      <c r="S38" s="8" t="s">
        <v>474</v>
      </c>
      <c r="T38" s="8" t="s">
        <v>477</v>
      </c>
      <c r="U38" s="8" t="s">
        <v>474</v>
      </c>
      <c r="V38" s="8" t="s">
        <v>164</v>
      </c>
      <c r="W38" s="8"/>
      <c r="X38" s="8" t="s">
        <v>289</v>
      </c>
      <c r="Y38" s="8" t="s">
        <v>193</v>
      </c>
      <c r="Z38" s="8" t="s">
        <v>747</v>
      </c>
      <c r="AA38" s="8" t="s">
        <v>195</v>
      </c>
      <c r="AB38" s="8"/>
      <c r="AC38" s="8" t="s">
        <v>749</v>
      </c>
      <c r="AD38" s="8" t="s">
        <v>750</v>
      </c>
      <c r="AE38" s="8" t="s">
        <v>751</v>
      </c>
      <c r="AF38" s="8" t="s">
        <v>752</v>
      </c>
      <c r="AG38" s="8" t="s">
        <v>753</v>
      </c>
      <c r="AH38" s="8" t="s">
        <v>754</v>
      </c>
      <c r="AI38" s="8" t="s">
        <v>755</v>
      </c>
      <c r="AJ38" s="8" t="s">
        <v>756</v>
      </c>
      <c r="AK38" s="8" t="s">
        <v>164</v>
      </c>
      <c r="AL38" s="8"/>
    </row>
    <row r="39" ht="15.75" customHeight="1">
      <c r="A39" s="7">
        <v>38.0</v>
      </c>
      <c r="B39" s="8" t="s">
        <v>757</v>
      </c>
      <c r="C39" s="9" t="s">
        <v>758</v>
      </c>
      <c r="D39" s="8" t="s">
        <v>137</v>
      </c>
      <c r="E39" s="8" t="s">
        <v>138</v>
      </c>
      <c r="F39" s="10">
        <v>90.0</v>
      </c>
      <c r="G39" s="10">
        <f t="shared" si="1"/>
        <v>1080</v>
      </c>
      <c r="H39" s="8" t="s">
        <v>761</v>
      </c>
      <c r="I39" s="8" t="s">
        <v>762</v>
      </c>
      <c r="J39" s="8" t="s">
        <v>164</v>
      </c>
      <c r="K39" s="8"/>
      <c r="L39" s="8"/>
      <c r="M39" s="8" t="s">
        <v>261</v>
      </c>
      <c r="N39" s="8" t="s">
        <v>170</v>
      </c>
      <c r="O39" s="8" t="s">
        <v>164</v>
      </c>
      <c r="P39" s="11"/>
      <c r="Q39" s="8"/>
      <c r="R39" s="8" t="s">
        <v>172</v>
      </c>
      <c r="S39" s="8" t="s">
        <v>474</v>
      </c>
      <c r="T39" s="8" t="s">
        <v>477</v>
      </c>
      <c r="U39" s="8" t="s">
        <v>474</v>
      </c>
      <c r="V39" s="8" t="s">
        <v>164</v>
      </c>
      <c r="W39" s="8"/>
      <c r="X39" s="8" t="s">
        <v>289</v>
      </c>
      <c r="Y39" s="8" t="s">
        <v>249</v>
      </c>
      <c r="Z39" s="8" t="s">
        <v>783</v>
      </c>
      <c r="AA39" s="8" t="s">
        <v>195</v>
      </c>
      <c r="AB39" s="8"/>
      <c r="AC39" s="8" t="s">
        <v>784</v>
      </c>
      <c r="AD39" s="8" t="s">
        <v>785</v>
      </c>
      <c r="AE39" s="8" t="s">
        <v>786</v>
      </c>
      <c r="AF39" s="8" t="s">
        <v>787</v>
      </c>
      <c r="AG39" s="8" t="s">
        <v>788</v>
      </c>
      <c r="AH39" s="8" t="s">
        <v>486</v>
      </c>
      <c r="AI39" s="8"/>
      <c r="AJ39" s="8" t="s">
        <v>789</v>
      </c>
      <c r="AK39" s="8" t="s">
        <v>141</v>
      </c>
      <c r="AL39" s="8" t="s">
        <v>790</v>
      </c>
    </row>
    <row r="40" ht="15.75" customHeight="1">
      <c r="A40" s="7">
        <v>39.0</v>
      </c>
      <c r="B40" s="8" t="s">
        <v>791</v>
      </c>
      <c r="C40" s="9" t="s">
        <v>792</v>
      </c>
      <c r="D40" s="8" t="s">
        <v>137</v>
      </c>
      <c r="E40" s="8" t="s">
        <v>138</v>
      </c>
      <c r="F40" s="10">
        <v>35.0</v>
      </c>
      <c r="G40" s="10">
        <f t="shared" si="1"/>
        <v>420</v>
      </c>
      <c r="H40" s="8" t="s">
        <v>798</v>
      </c>
      <c r="I40" s="8" t="s">
        <v>800</v>
      </c>
      <c r="J40" s="8" t="s">
        <v>164</v>
      </c>
      <c r="K40" s="8"/>
      <c r="L40" s="8"/>
      <c r="M40" s="8" t="s">
        <v>261</v>
      </c>
      <c r="N40" s="8" t="s">
        <v>170</v>
      </c>
      <c r="O40" s="8" t="s">
        <v>164</v>
      </c>
      <c r="P40" s="11"/>
      <c r="Q40" s="8"/>
      <c r="R40" s="8" t="s">
        <v>172</v>
      </c>
      <c r="S40" s="8" t="s">
        <v>474</v>
      </c>
      <c r="T40" s="8" t="s">
        <v>477</v>
      </c>
      <c r="U40" s="8" t="s">
        <v>474</v>
      </c>
      <c r="V40" s="8" t="s">
        <v>164</v>
      </c>
      <c r="W40" s="8"/>
      <c r="X40" s="8" t="s">
        <v>810</v>
      </c>
      <c r="Y40" s="8" t="s">
        <v>154</v>
      </c>
      <c r="Z40" s="8" t="s">
        <v>813</v>
      </c>
      <c r="AA40" s="8" t="s">
        <v>141</v>
      </c>
      <c r="AB40" s="8"/>
      <c r="AC40" s="8" t="s">
        <v>814</v>
      </c>
      <c r="AD40" s="8" t="s">
        <v>157</v>
      </c>
      <c r="AE40" s="8" t="s">
        <v>158</v>
      </c>
      <c r="AF40" s="8" t="s">
        <v>817</v>
      </c>
      <c r="AG40" s="8" t="s">
        <v>819</v>
      </c>
      <c r="AH40" s="8" t="s">
        <v>821</v>
      </c>
      <c r="AI40" s="8"/>
      <c r="AJ40" s="8" t="s">
        <v>824</v>
      </c>
      <c r="AK40" s="8" t="s">
        <v>141</v>
      </c>
      <c r="AL40" s="8" t="s">
        <v>825</v>
      </c>
    </row>
    <row r="41" ht="15.75" customHeight="1">
      <c r="A41" s="7">
        <v>40.0</v>
      </c>
      <c r="B41" s="8" t="s">
        <v>827</v>
      </c>
      <c r="C41" s="9" t="s">
        <v>828</v>
      </c>
      <c r="D41" s="8" t="s">
        <v>137</v>
      </c>
      <c r="E41" s="8" t="s">
        <v>138</v>
      </c>
      <c r="F41" s="10">
        <v>8.0</v>
      </c>
      <c r="G41" s="10">
        <f t="shared" si="1"/>
        <v>96</v>
      </c>
      <c r="H41" s="8" t="s">
        <v>833</v>
      </c>
      <c r="I41" s="8" t="s">
        <v>834</v>
      </c>
      <c r="J41" s="8" t="s">
        <v>164</v>
      </c>
      <c r="K41" s="8"/>
      <c r="L41" s="8"/>
      <c r="M41" s="8" t="s">
        <v>261</v>
      </c>
      <c r="N41" s="8" t="s">
        <v>170</v>
      </c>
      <c r="O41" s="8" t="s">
        <v>164</v>
      </c>
      <c r="P41" s="11"/>
      <c r="Q41" s="8"/>
      <c r="R41" s="8" t="s">
        <v>172</v>
      </c>
      <c r="S41" s="8" t="s">
        <v>173</v>
      </c>
      <c r="T41" s="8" t="s">
        <v>174</v>
      </c>
      <c r="U41" s="8" t="s">
        <v>173</v>
      </c>
      <c r="V41" s="8" t="s">
        <v>164</v>
      </c>
      <c r="W41" s="8"/>
      <c r="X41" s="8" t="s">
        <v>289</v>
      </c>
      <c r="Y41" s="8" t="s">
        <v>176</v>
      </c>
      <c r="Z41" s="8" t="s">
        <v>841</v>
      </c>
      <c r="AA41" s="8" t="s">
        <v>195</v>
      </c>
      <c r="AB41" s="8" t="s">
        <v>518</v>
      </c>
      <c r="AC41" s="8" t="s">
        <v>844</v>
      </c>
      <c r="AD41" s="8" t="s">
        <v>180</v>
      </c>
      <c r="AE41" s="8" t="s">
        <v>181</v>
      </c>
      <c r="AF41" s="8" t="s">
        <v>182</v>
      </c>
      <c r="AG41" s="8" t="s">
        <v>182</v>
      </c>
      <c r="AH41" s="8"/>
      <c r="AI41" s="8" t="s">
        <v>849</v>
      </c>
      <c r="AJ41" s="8" t="s">
        <v>852</v>
      </c>
      <c r="AK41" s="8" t="s">
        <v>141</v>
      </c>
      <c r="AL41" s="8" t="s">
        <v>857</v>
      </c>
    </row>
    <row r="42" ht="15.75" customHeight="1">
      <c r="A42" s="7">
        <v>41.0</v>
      </c>
      <c r="B42" s="8" t="s">
        <v>860</v>
      </c>
      <c r="C42" s="9" t="s">
        <v>862</v>
      </c>
      <c r="D42" s="8" t="s">
        <v>137</v>
      </c>
      <c r="E42" s="8" t="s">
        <v>138</v>
      </c>
      <c r="F42" s="10">
        <v>20.0</v>
      </c>
      <c r="G42" s="10">
        <f t="shared" si="1"/>
        <v>240</v>
      </c>
      <c r="H42" s="8" t="s">
        <v>872</v>
      </c>
      <c r="I42" s="8" t="s">
        <v>874</v>
      </c>
      <c r="J42" s="8" t="s">
        <v>164</v>
      </c>
      <c r="K42" s="8"/>
      <c r="L42" s="8"/>
      <c r="M42" s="8" t="s">
        <v>261</v>
      </c>
      <c r="N42" s="8" t="s">
        <v>170</v>
      </c>
      <c r="O42" s="8" t="s">
        <v>164</v>
      </c>
      <c r="P42" s="11"/>
      <c r="Q42" s="8"/>
      <c r="R42" s="8" t="s">
        <v>172</v>
      </c>
      <c r="S42" s="8" t="s">
        <v>474</v>
      </c>
      <c r="T42" s="8" t="s">
        <v>477</v>
      </c>
      <c r="U42" s="8" t="s">
        <v>474</v>
      </c>
      <c r="V42" s="8" t="s">
        <v>164</v>
      </c>
      <c r="W42" s="8"/>
      <c r="X42" s="8" t="s">
        <v>289</v>
      </c>
      <c r="Y42" s="8" t="s">
        <v>193</v>
      </c>
      <c r="Z42" s="8" t="s">
        <v>892</v>
      </c>
      <c r="AA42" s="8" t="s">
        <v>195</v>
      </c>
      <c r="AB42" s="8"/>
      <c r="AC42" s="8" t="s">
        <v>895</v>
      </c>
      <c r="AD42" s="8" t="s">
        <v>157</v>
      </c>
      <c r="AE42" s="8" t="s">
        <v>158</v>
      </c>
      <c r="AF42" s="8" t="s">
        <v>228</v>
      </c>
      <c r="AG42" s="8" t="s">
        <v>901</v>
      </c>
      <c r="AH42" s="8"/>
      <c r="AI42" s="8"/>
      <c r="AJ42" s="8" t="s">
        <v>904</v>
      </c>
      <c r="AK42" s="8" t="s">
        <v>164</v>
      </c>
      <c r="AL42" s="8"/>
    </row>
    <row r="43" ht="15.75" customHeight="1">
      <c r="A43" s="7">
        <v>42.0</v>
      </c>
      <c r="B43" s="8" t="s">
        <v>911</v>
      </c>
      <c r="C43" s="9" t="s">
        <v>913</v>
      </c>
      <c r="D43" s="8" t="s">
        <v>137</v>
      </c>
      <c r="E43" s="8" t="s">
        <v>138</v>
      </c>
      <c r="F43" s="10">
        <v>20.0</v>
      </c>
      <c r="G43" s="10">
        <f t="shared" si="1"/>
        <v>240</v>
      </c>
      <c r="H43" s="8" t="s">
        <v>921</v>
      </c>
      <c r="I43" s="8" t="s">
        <v>924</v>
      </c>
      <c r="J43" s="8" t="s">
        <v>164</v>
      </c>
      <c r="K43" s="8"/>
      <c r="L43" s="8"/>
      <c r="M43" s="8" t="s">
        <v>261</v>
      </c>
      <c r="N43" s="8" t="s">
        <v>170</v>
      </c>
      <c r="O43" s="8" t="s">
        <v>164</v>
      </c>
      <c r="P43" s="11"/>
      <c r="Q43" s="8"/>
      <c r="R43" s="8" t="s">
        <v>172</v>
      </c>
      <c r="S43" s="8" t="s">
        <v>474</v>
      </c>
      <c r="T43" s="8" t="s">
        <v>477</v>
      </c>
      <c r="U43" s="8" t="s">
        <v>474</v>
      </c>
      <c r="V43" s="8" t="s">
        <v>164</v>
      </c>
      <c r="W43" s="8"/>
      <c r="X43" s="8" t="s">
        <v>941</v>
      </c>
      <c r="Y43" s="8" t="s">
        <v>154</v>
      </c>
      <c r="Z43" s="8" t="s">
        <v>946</v>
      </c>
      <c r="AA43" s="8" t="s">
        <v>141</v>
      </c>
      <c r="AB43" s="8"/>
      <c r="AC43" s="8" t="s">
        <v>949</v>
      </c>
      <c r="AD43" s="8" t="s">
        <v>157</v>
      </c>
      <c r="AE43" s="8" t="s">
        <v>158</v>
      </c>
      <c r="AF43" s="8" t="s">
        <v>953</v>
      </c>
      <c r="AG43" s="8" t="s">
        <v>956</v>
      </c>
      <c r="AH43" s="8"/>
      <c r="AI43" s="8" t="s">
        <v>958</v>
      </c>
      <c r="AJ43" s="8" t="s">
        <v>960</v>
      </c>
      <c r="AK43" s="8" t="s">
        <v>164</v>
      </c>
      <c r="AL43" s="8"/>
    </row>
    <row r="44" ht="15.75" customHeight="1">
      <c r="A44" s="7">
        <v>43.0</v>
      </c>
      <c r="B44" s="8" t="s">
        <v>965</v>
      </c>
      <c r="C44" s="9" t="s">
        <v>967</v>
      </c>
      <c r="D44" s="8" t="s">
        <v>137</v>
      </c>
      <c r="E44" s="8" t="s">
        <v>138</v>
      </c>
      <c r="F44" s="10">
        <v>25.0</v>
      </c>
      <c r="G44" s="10">
        <f t="shared" si="1"/>
        <v>300</v>
      </c>
      <c r="H44" s="8" t="s">
        <v>971</v>
      </c>
      <c r="I44" s="8" t="s">
        <v>973</v>
      </c>
      <c r="J44" s="8" t="s">
        <v>164</v>
      </c>
      <c r="K44" s="8"/>
      <c r="L44" s="8"/>
      <c r="M44" s="8" t="s">
        <v>261</v>
      </c>
      <c r="N44" s="8" t="s">
        <v>170</v>
      </c>
      <c r="O44" s="8" t="s">
        <v>164</v>
      </c>
      <c r="P44" s="11"/>
      <c r="Q44" s="8"/>
      <c r="R44" s="8" t="s">
        <v>172</v>
      </c>
      <c r="S44" s="8" t="s">
        <v>474</v>
      </c>
      <c r="T44" s="8" t="s">
        <v>477</v>
      </c>
      <c r="U44" s="8" t="s">
        <v>474</v>
      </c>
      <c r="V44" s="8" t="s">
        <v>164</v>
      </c>
      <c r="W44" s="8"/>
      <c r="X44" s="8" t="s">
        <v>289</v>
      </c>
      <c r="Y44" s="8" t="s">
        <v>193</v>
      </c>
      <c r="Z44" s="8" t="s">
        <v>980</v>
      </c>
      <c r="AA44" s="8" t="s">
        <v>195</v>
      </c>
      <c r="AB44" s="8"/>
      <c r="AC44" s="8" t="s">
        <v>982</v>
      </c>
      <c r="AD44" s="8" t="s">
        <v>157</v>
      </c>
      <c r="AE44" s="8" t="s">
        <v>158</v>
      </c>
      <c r="AF44" s="8" t="s">
        <v>984</v>
      </c>
      <c r="AG44" s="8" t="s">
        <v>985</v>
      </c>
      <c r="AH44" s="8"/>
      <c r="AI44" s="8"/>
      <c r="AJ44" s="8" t="s">
        <v>986</v>
      </c>
      <c r="AK44" s="8" t="s">
        <v>164</v>
      </c>
      <c r="AL44" s="8"/>
    </row>
    <row r="45" ht="15.75" customHeight="1">
      <c r="A45" s="7">
        <v>44.0</v>
      </c>
      <c r="B45" s="8" t="s">
        <v>987</v>
      </c>
      <c r="C45" s="9" t="s">
        <v>988</v>
      </c>
      <c r="D45" s="8" t="s">
        <v>137</v>
      </c>
      <c r="E45" s="8" t="s">
        <v>138</v>
      </c>
      <c r="F45" s="10">
        <v>25.0</v>
      </c>
      <c r="G45" s="10">
        <f t="shared" si="1"/>
        <v>300</v>
      </c>
      <c r="H45" s="8" t="s">
        <v>989</v>
      </c>
      <c r="I45" s="8" t="s">
        <v>990</v>
      </c>
      <c r="J45" s="8" t="s">
        <v>164</v>
      </c>
      <c r="K45" s="8"/>
      <c r="L45" s="8"/>
      <c r="M45" s="8" t="s">
        <v>261</v>
      </c>
      <c r="N45" s="8" t="s">
        <v>170</v>
      </c>
      <c r="O45" s="8" t="s">
        <v>164</v>
      </c>
      <c r="P45" s="11"/>
      <c r="Q45" s="8"/>
      <c r="R45" s="8" t="s">
        <v>172</v>
      </c>
      <c r="S45" s="8" t="s">
        <v>474</v>
      </c>
      <c r="T45" s="8" t="s">
        <v>477</v>
      </c>
      <c r="U45" s="8" t="s">
        <v>474</v>
      </c>
      <c r="V45" s="8" t="s">
        <v>164</v>
      </c>
      <c r="W45" s="8"/>
      <c r="X45" s="8" t="s">
        <v>289</v>
      </c>
      <c r="Y45" s="8" t="s">
        <v>193</v>
      </c>
      <c r="Z45" s="8" t="s">
        <v>991</v>
      </c>
      <c r="AA45" s="8" t="s">
        <v>195</v>
      </c>
      <c r="AB45" s="8"/>
      <c r="AC45" s="8" t="s">
        <v>992</v>
      </c>
      <c r="AD45" s="8" t="s">
        <v>180</v>
      </c>
      <c r="AE45" s="8" t="s">
        <v>181</v>
      </c>
      <c r="AF45" s="8" t="s">
        <v>182</v>
      </c>
      <c r="AG45" s="8" t="s">
        <v>182</v>
      </c>
      <c r="AH45" s="8"/>
      <c r="AI45" s="8"/>
      <c r="AJ45" s="8" t="s">
        <v>993</v>
      </c>
      <c r="AK45" s="8" t="s">
        <v>164</v>
      </c>
      <c r="AL45" s="8"/>
    </row>
    <row r="46" ht="15.75" customHeight="1">
      <c r="A46" s="7">
        <v>45.0</v>
      </c>
      <c r="B46" s="8" t="s">
        <v>994</v>
      </c>
      <c r="C46" s="9" t="s">
        <v>995</v>
      </c>
      <c r="D46" s="8" t="s">
        <v>137</v>
      </c>
      <c r="E46" s="8" t="s">
        <v>138</v>
      </c>
      <c r="F46" s="10">
        <v>70.0</v>
      </c>
      <c r="G46" s="10">
        <f t="shared" si="1"/>
        <v>840</v>
      </c>
      <c r="H46" s="8" t="s">
        <v>996</v>
      </c>
      <c r="I46" s="8" t="s">
        <v>997</v>
      </c>
      <c r="J46" s="8" t="s">
        <v>164</v>
      </c>
      <c r="K46" s="8"/>
      <c r="L46" s="8"/>
      <c r="M46" s="8" t="s">
        <v>261</v>
      </c>
      <c r="N46" s="8" t="s">
        <v>170</v>
      </c>
      <c r="O46" s="8" t="s">
        <v>164</v>
      </c>
      <c r="P46" s="11"/>
      <c r="Q46" s="8"/>
      <c r="R46" s="8" t="s">
        <v>172</v>
      </c>
      <c r="S46" s="8" t="s">
        <v>474</v>
      </c>
      <c r="T46" s="8" t="s">
        <v>477</v>
      </c>
      <c r="U46" s="8" t="s">
        <v>474</v>
      </c>
      <c r="V46" s="8" t="s">
        <v>164</v>
      </c>
      <c r="W46" s="8"/>
      <c r="X46" s="8" t="s">
        <v>289</v>
      </c>
      <c r="Y46" s="8" t="s">
        <v>249</v>
      </c>
      <c r="Z46" s="8" t="s">
        <v>1001</v>
      </c>
      <c r="AA46" s="8" t="s">
        <v>195</v>
      </c>
      <c r="AB46" s="8"/>
      <c r="AC46" s="8" t="s">
        <v>1004</v>
      </c>
      <c r="AD46" s="8" t="s">
        <v>180</v>
      </c>
      <c r="AE46" s="8" t="s">
        <v>181</v>
      </c>
      <c r="AF46" s="8" t="s">
        <v>182</v>
      </c>
      <c r="AG46" s="8" t="s">
        <v>1007</v>
      </c>
      <c r="AH46" s="8"/>
      <c r="AI46" s="8"/>
      <c r="AJ46" s="8" t="s">
        <v>1008</v>
      </c>
      <c r="AK46" s="8" t="s">
        <v>141</v>
      </c>
      <c r="AL46" s="8" t="s">
        <v>1011</v>
      </c>
    </row>
    <row r="47" ht="15.75" customHeight="1">
      <c r="A47" s="7">
        <v>46.0</v>
      </c>
      <c r="B47" s="8" t="s">
        <v>1013</v>
      </c>
      <c r="C47" s="9" t="s">
        <v>1015</v>
      </c>
      <c r="D47" s="8" t="s">
        <v>137</v>
      </c>
      <c r="E47" s="8" t="s">
        <v>138</v>
      </c>
      <c r="F47" s="10">
        <v>30.0</v>
      </c>
      <c r="G47" s="10">
        <f t="shared" si="1"/>
        <v>360</v>
      </c>
      <c r="H47" s="8" t="s">
        <v>1017</v>
      </c>
      <c r="I47" s="8" t="s">
        <v>1019</v>
      </c>
      <c r="J47" s="8" t="s">
        <v>164</v>
      </c>
      <c r="K47" s="8"/>
      <c r="L47" s="8"/>
      <c r="M47" s="8" t="s">
        <v>261</v>
      </c>
      <c r="N47" s="8" t="s">
        <v>170</v>
      </c>
      <c r="O47" s="8" t="s">
        <v>164</v>
      </c>
      <c r="P47" s="11"/>
      <c r="Q47" s="8"/>
      <c r="R47" s="8" t="s">
        <v>172</v>
      </c>
      <c r="S47" s="8" t="s">
        <v>173</v>
      </c>
      <c r="T47" s="8" t="s">
        <v>174</v>
      </c>
      <c r="U47" s="8" t="s">
        <v>173</v>
      </c>
      <c r="V47" s="8" t="s">
        <v>164</v>
      </c>
      <c r="W47" s="8"/>
      <c r="X47" s="8" t="s">
        <v>289</v>
      </c>
      <c r="Y47" s="8" t="s">
        <v>176</v>
      </c>
      <c r="Z47" s="8" t="s">
        <v>1021</v>
      </c>
      <c r="AA47" s="8" t="s">
        <v>195</v>
      </c>
      <c r="AB47" s="8" t="s">
        <v>518</v>
      </c>
      <c r="AC47" s="8" t="s">
        <v>710</v>
      </c>
      <c r="AD47" s="8" t="s">
        <v>180</v>
      </c>
      <c r="AE47" s="8" t="s">
        <v>181</v>
      </c>
      <c r="AF47" s="8" t="s">
        <v>182</v>
      </c>
      <c r="AG47" s="8" t="s">
        <v>182</v>
      </c>
      <c r="AH47" s="8"/>
      <c r="AI47" s="8"/>
      <c r="AJ47" s="8" t="s">
        <v>1022</v>
      </c>
      <c r="AK47" s="8" t="s">
        <v>141</v>
      </c>
      <c r="AL47" s="8" t="s">
        <v>1023</v>
      </c>
    </row>
    <row r="48" ht="15.75" customHeight="1">
      <c r="A48" s="7">
        <v>47.0</v>
      </c>
      <c r="B48" s="8" t="s">
        <v>1024</v>
      </c>
      <c r="C48" s="9" t="s">
        <v>1025</v>
      </c>
      <c r="D48" s="8" t="s">
        <v>137</v>
      </c>
      <c r="E48" s="8" t="s">
        <v>138</v>
      </c>
      <c r="F48" s="10">
        <v>30.0</v>
      </c>
      <c r="G48" s="10">
        <f t="shared" si="1"/>
        <v>360</v>
      </c>
      <c r="H48" s="8" t="s">
        <v>921</v>
      </c>
      <c r="I48" s="8" t="s">
        <v>1026</v>
      </c>
      <c r="J48" s="8" t="s">
        <v>164</v>
      </c>
      <c r="K48" s="8"/>
      <c r="L48" s="8"/>
      <c r="M48" s="8" t="s">
        <v>261</v>
      </c>
      <c r="N48" s="8" t="s">
        <v>170</v>
      </c>
      <c r="O48" s="8" t="s">
        <v>164</v>
      </c>
      <c r="P48" s="11"/>
      <c r="Q48" s="8"/>
      <c r="R48" s="8" t="s">
        <v>172</v>
      </c>
      <c r="S48" s="8" t="s">
        <v>474</v>
      </c>
      <c r="T48" s="8" t="s">
        <v>477</v>
      </c>
      <c r="U48" s="8" t="s">
        <v>474</v>
      </c>
      <c r="V48" s="8" t="s">
        <v>164</v>
      </c>
      <c r="W48" s="8"/>
      <c r="X48" s="8" t="s">
        <v>289</v>
      </c>
      <c r="Y48" s="8" t="s">
        <v>193</v>
      </c>
      <c r="Z48" s="8" t="s">
        <v>1027</v>
      </c>
      <c r="AA48" s="8" t="s">
        <v>195</v>
      </c>
      <c r="AB48" s="8"/>
      <c r="AC48" s="8" t="s">
        <v>1028</v>
      </c>
      <c r="AD48" s="8" t="s">
        <v>180</v>
      </c>
      <c r="AE48" s="8" t="s">
        <v>181</v>
      </c>
      <c r="AF48" s="8" t="s">
        <v>182</v>
      </c>
      <c r="AG48" s="8" t="s">
        <v>182</v>
      </c>
      <c r="AH48" s="8"/>
      <c r="AI48" s="8"/>
      <c r="AJ48" s="8" t="s">
        <v>1029</v>
      </c>
      <c r="AK48" s="8" t="s">
        <v>164</v>
      </c>
      <c r="AL48" s="8"/>
    </row>
    <row r="49" ht="15.75" customHeight="1">
      <c r="A49" s="7">
        <v>48.0</v>
      </c>
      <c r="B49" s="8" t="s">
        <v>1030</v>
      </c>
      <c r="C49" s="9" t="s">
        <v>1031</v>
      </c>
      <c r="D49" s="8" t="s">
        <v>137</v>
      </c>
      <c r="E49" s="8" t="s">
        <v>138</v>
      </c>
      <c r="F49" s="10">
        <v>20.0</v>
      </c>
      <c r="G49" s="10">
        <f t="shared" si="1"/>
        <v>240</v>
      </c>
      <c r="H49" s="8" t="s">
        <v>1032</v>
      </c>
      <c r="I49" s="8" t="s">
        <v>1033</v>
      </c>
      <c r="J49" s="8" t="s">
        <v>221</v>
      </c>
      <c r="K49" s="8" t="s">
        <v>509</v>
      </c>
      <c r="L49" s="8"/>
      <c r="M49" s="8" t="s">
        <v>261</v>
      </c>
      <c r="N49" s="8" t="s">
        <v>262</v>
      </c>
      <c r="O49" s="8" t="s">
        <v>164</v>
      </c>
      <c r="P49" s="11">
        <v>0.2</v>
      </c>
      <c r="Q49" s="8" t="s">
        <v>1034</v>
      </c>
      <c r="R49" s="8" t="s">
        <v>172</v>
      </c>
      <c r="S49" s="8" t="s">
        <v>474</v>
      </c>
      <c r="T49" s="8" t="s">
        <v>477</v>
      </c>
      <c r="U49" s="8" t="s">
        <v>474</v>
      </c>
      <c r="V49" s="8" t="s">
        <v>164</v>
      </c>
      <c r="W49" s="8"/>
      <c r="X49" s="8" t="s">
        <v>225</v>
      </c>
      <c r="Y49" s="8" t="s">
        <v>193</v>
      </c>
      <c r="Z49" s="8" t="s">
        <v>1035</v>
      </c>
      <c r="AA49" s="8" t="s">
        <v>195</v>
      </c>
      <c r="AB49" s="8"/>
      <c r="AC49" s="8" t="s">
        <v>1036</v>
      </c>
      <c r="AD49" s="8" t="s">
        <v>157</v>
      </c>
      <c r="AE49" s="8" t="s">
        <v>158</v>
      </c>
      <c r="AF49" s="8" t="s">
        <v>984</v>
      </c>
      <c r="AG49" s="8" t="s">
        <v>1037</v>
      </c>
      <c r="AH49" s="8"/>
      <c r="AI49" s="8"/>
      <c r="AJ49" s="8" t="s">
        <v>1038</v>
      </c>
      <c r="AK49" s="8" t="s">
        <v>164</v>
      </c>
      <c r="AL49" s="8"/>
    </row>
    <row r="50" ht="15.75" customHeight="1">
      <c r="A50" s="7">
        <v>49.0</v>
      </c>
      <c r="B50" s="8" t="s">
        <v>1039</v>
      </c>
      <c r="C50" s="9" t="s">
        <v>1040</v>
      </c>
      <c r="D50" s="8" t="s">
        <v>137</v>
      </c>
      <c r="E50" s="8" t="s">
        <v>138</v>
      </c>
      <c r="F50" s="10">
        <v>15.0</v>
      </c>
      <c r="G50" s="10">
        <f t="shared" si="1"/>
        <v>180</v>
      </c>
      <c r="H50" s="8" t="s">
        <v>872</v>
      </c>
      <c r="I50" s="8" t="s">
        <v>1041</v>
      </c>
      <c r="J50" s="8" t="s">
        <v>164</v>
      </c>
      <c r="K50" s="8"/>
      <c r="L50" s="8"/>
      <c r="M50" s="8" t="s">
        <v>261</v>
      </c>
      <c r="N50" s="8" t="s">
        <v>170</v>
      </c>
      <c r="O50" s="8" t="s">
        <v>164</v>
      </c>
      <c r="P50" s="11"/>
      <c r="Q50" s="8"/>
      <c r="R50" s="8" t="s">
        <v>172</v>
      </c>
      <c r="S50" s="8" t="s">
        <v>173</v>
      </c>
      <c r="T50" s="8" t="s">
        <v>174</v>
      </c>
      <c r="U50" s="8" t="s">
        <v>173</v>
      </c>
      <c r="V50" s="8" t="s">
        <v>164</v>
      </c>
      <c r="W50" s="8"/>
      <c r="X50" s="8" t="s">
        <v>289</v>
      </c>
      <c r="Y50" s="8" t="s">
        <v>176</v>
      </c>
      <c r="Z50" s="8" t="s">
        <v>1042</v>
      </c>
      <c r="AA50" s="8" t="s">
        <v>195</v>
      </c>
      <c r="AB50" s="8" t="s">
        <v>518</v>
      </c>
      <c r="AC50" s="8" t="s">
        <v>710</v>
      </c>
      <c r="AD50" s="8" t="s">
        <v>180</v>
      </c>
      <c r="AE50" s="8" t="s">
        <v>181</v>
      </c>
      <c r="AF50" s="8" t="s">
        <v>182</v>
      </c>
      <c r="AG50" s="8" t="s">
        <v>182</v>
      </c>
      <c r="AH50" s="8"/>
      <c r="AI50" s="8" t="s">
        <v>1043</v>
      </c>
      <c r="AJ50" s="8" t="s">
        <v>1044</v>
      </c>
      <c r="AK50" s="8" t="s">
        <v>141</v>
      </c>
      <c r="AL50" s="8" t="s">
        <v>1045</v>
      </c>
    </row>
    <row r="51" ht="15.75" customHeight="1">
      <c r="A51" s="7">
        <v>50.0</v>
      </c>
      <c r="B51" s="8" t="s">
        <v>1046</v>
      </c>
      <c r="C51" s="9" t="s">
        <v>1047</v>
      </c>
      <c r="D51" s="8" t="s">
        <v>137</v>
      </c>
      <c r="E51" s="8" t="s">
        <v>138</v>
      </c>
      <c r="F51" s="10">
        <v>25.0</v>
      </c>
      <c r="G51" s="10">
        <f t="shared" si="1"/>
        <v>300</v>
      </c>
      <c r="H51" s="8" t="s">
        <v>1048</v>
      </c>
      <c r="I51" s="8" t="s">
        <v>1049</v>
      </c>
      <c r="J51" s="8" t="s">
        <v>164</v>
      </c>
      <c r="K51" s="8"/>
      <c r="L51" s="8"/>
      <c r="M51" s="8" t="s">
        <v>261</v>
      </c>
      <c r="N51" s="8" t="s">
        <v>170</v>
      </c>
      <c r="O51" s="8" t="s">
        <v>164</v>
      </c>
      <c r="P51" s="11"/>
      <c r="Q51" s="8"/>
      <c r="R51" s="8" t="s">
        <v>172</v>
      </c>
      <c r="S51" s="8" t="s">
        <v>474</v>
      </c>
      <c r="T51" s="8" t="s">
        <v>477</v>
      </c>
      <c r="U51" s="8" t="s">
        <v>474</v>
      </c>
      <c r="V51" s="8" t="s">
        <v>164</v>
      </c>
      <c r="W51" s="8"/>
      <c r="X51" s="8" t="s">
        <v>1050</v>
      </c>
      <c r="Y51" s="8" t="s">
        <v>154</v>
      </c>
      <c r="Z51" s="8" t="s">
        <v>1051</v>
      </c>
      <c r="AA51" s="8" t="s">
        <v>141</v>
      </c>
      <c r="AB51" s="8"/>
      <c r="AC51" s="8" t="s">
        <v>1052</v>
      </c>
      <c r="AD51" s="8" t="s">
        <v>157</v>
      </c>
      <c r="AE51" s="8" t="s">
        <v>158</v>
      </c>
      <c r="AF51" s="8" t="s">
        <v>984</v>
      </c>
      <c r="AG51" s="8" t="s">
        <v>1053</v>
      </c>
      <c r="AH51" s="8"/>
      <c r="AI51" s="8"/>
      <c r="AJ51" s="8" t="s">
        <v>1054</v>
      </c>
      <c r="AK51" s="8" t="s">
        <v>141</v>
      </c>
      <c r="AL51" s="8" t="s">
        <v>1055</v>
      </c>
    </row>
    <row r="52" ht="15.75" customHeight="1">
      <c r="A52" s="7">
        <v>51.0</v>
      </c>
      <c r="B52" s="8" t="s">
        <v>1056</v>
      </c>
      <c r="C52" s="9" t="s">
        <v>1057</v>
      </c>
      <c r="D52" s="8" t="s">
        <v>137</v>
      </c>
      <c r="E52" s="8" t="s">
        <v>138</v>
      </c>
      <c r="F52" s="10">
        <v>30.0</v>
      </c>
      <c r="G52" s="10">
        <f t="shared" si="1"/>
        <v>360</v>
      </c>
      <c r="H52" s="8" t="s">
        <v>1058</v>
      </c>
      <c r="I52" s="8" t="s">
        <v>1059</v>
      </c>
      <c r="J52" s="8" t="s">
        <v>221</v>
      </c>
      <c r="K52" s="8" t="s">
        <v>509</v>
      </c>
      <c r="L52" s="8"/>
      <c r="M52" s="8" t="s">
        <v>261</v>
      </c>
      <c r="N52" s="8" t="s">
        <v>170</v>
      </c>
      <c r="O52" s="8" t="s">
        <v>164</v>
      </c>
      <c r="P52" s="11">
        <v>0.1</v>
      </c>
      <c r="Q52" s="8" t="s">
        <v>1060</v>
      </c>
      <c r="R52" s="8" t="s">
        <v>172</v>
      </c>
      <c r="S52" s="8" t="s">
        <v>474</v>
      </c>
      <c r="T52" s="8" t="s">
        <v>477</v>
      </c>
      <c r="U52" s="8" t="s">
        <v>474</v>
      </c>
      <c r="V52" s="8" t="s">
        <v>164</v>
      </c>
      <c r="W52" s="8"/>
      <c r="X52" s="8" t="s">
        <v>289</v>
      </c>
      <c r="Y52" s="8" t="s">
        <v>193</v>
      </c>
      <c r="Z52" s="8" t="s">
        <v>1061</v>
      </c>
      <c r="AA52" s="8" t="s">
        <v>195</v>
      </c>
      <c r="AB52" s="8"/>
      <c r="AC52" s="8" t="s">
        <v>1062</v>
      </c>
      <c r="AD52" s="8" t="s">
        <v>180</v>
      </c>
      <c r="AE52" s="8" t="s">
        <v>181</v>
      </c>
      <c r="AF52" s="8" t="s">
        <v>182</v>
      </c>
      <c r="AG52" s="8" t="s">
        <v>182</v>
      </c>
      <c r="AH52" s="8"/>
      <c r="AI52" s="8"/>
      <c r="AJ52" s="8" t="s">
        <v>1063</v>
      </c>
      <c r="AK52" s="8" t="s">
        <v>164</v>
      </c>
      <c r="AL52" s="8"/>
    </row>
    <row r="53" ht="15.75" customHeight="1">
      <c r="A53" s="7">
        <v>52.0</v>
      </c>
      <c r="B53" s="8" t="s">
        <v>1064</v>
      </c>
      <c r="C53" s="9" t="s">
        <v>1065</v>
      </c>
      <c r="D53" s="8" t="s">
        <v>137</v>
      </c>
      <c r="E53" s="8" t="s">
        <v>138</v>
      </c>
      <c r="F53" s="10">
        <v>8.0</v>
      </c>
      <c r="G53" s="10">
        <f t="shared" si="1"/>
        <v>96</v>
      </c>
      <c r="H53" s="8" t="s">
        <v>1066</v>
      </c>
      <c r="I53" s="8" t="s">
        <v>1067</v>
      </c>
      <c r="J53" s="8" t="s">
        <v>164</v>
      </c>
      <c r="K53" s="8"/>
      <c r="L53" s="8"/>
      <c r="M53" s="8" t="s">
        <v>261</v>
      </c>
      <c r="N53" s="8" t="s">
        <v>170</v>
      </c>
      <c r="O53" s="8" t="s">
        <v>164</v>
      </c>
      <c r="P53" s="11"/>
      <c r="Q53" s="8"/>
      <c r="R53" s="8" t="s">
        <v>172</v>
      </c>
      <c r="S53" s="8" t="s">
        <v>173</v>
      </c>
      <c r="T53" s="8" t="s">
        <v>174</v>
      </c>
      <c r="U53" s="8" t="s">
        <v>173</v>
      </c>
      <c r="V53" s="8" t="s">
        <v>164</v>
      </c>
      <c r="W53" s="8"/>
      <c r="X53" s="8" t="s">
        <v>289</v>
      </c>
      <c r="Y53" s="8" t="s">
        <v>193</v>
      </c>
      <c r="Z53" s="8" t="s">
        <v>1068</v>
      </c>
      <c r="AA53" s="8" t="s">
        <v>195</v>
      </c>
      <c r="AB53" s="8" t="s">
        <v>518</v>
      </c>
      <c r="AC53" s="8" t="s">
        <v>1069</v>
      </c>
      <c r="AD53" s="8" t="s">
        <v>157</v>
      </c>
      <c r="AE53" s="8" t="s">
        <v>158</v>
      </c>
      <c r="AF53" s="8" t="s">
        <v>1070</v>
      </c>
      <c r="AG53" s="8" t="s">
        <v>1071</v>
      </c>
      <c r="AH53" s="8" t="s">
        <v>486</v>
      </c>
      <c r="AI53" s="8" t="s">
        <v>1072</v>
      </c>
      <c r="AJ53" s="8" t="s">
        <v>1073</v>
      </c>
      <c r="AK53" s="8" t="s">
        <v>141</v>
      </c>
      <c r="AL53" s="8" t="s">
        <v>1074</v>
      </c>
    </row>
    <row r="54" ht="15.75" customHeight="1">
      <c r="A54" s="7">
        <v>53.0</v>
      </c>
      <c r="B54" s="8" t="s">
        <v>1076</v>
      </c>
      <c r="C54" s="9" t="s">
        <v>1077</v>
      </c>
      <c r="D54" s="8" t="s">
        <v>137</v>
      </c>
      <c r="E54" s="8" t="s">
        <v>138</v>
      </c>
      <c r="F54" s="10">
        <v>8.0</v>
      </c>
      <c r="G54" s="10">
        <f t="shared" si="1"/>
        <v>96</v>
      </c>
      <c r="H54" s="8" t="s">
        <v>921</v>
      </c>
      <c r="I54" s="8" t="s">
        <v>562</v>
      </c>
      <c r="J54" s="8" t="s">
        <v>164</v>
      </c>
      <c r="K54" s="8"/>
      <c r="L54" s="8"/>
      <c r="M54" s="8" t="s">
        <v>261</v>
      </c>
      <c r="N54" s="8" t="s">
        <v>170</v>
      </c>
      <c r="O54" s="8" t="s">
        <v>164</v>
      </c>
      <c r="P54" s="11"/>
      <c r="Q54" s="8"/>
      <c r="R54" s="8" t="s">
        <v>172</v>
      </c>
      <c r="S54" s="8" t="s">
        <v>474</v>
      </c>
      <c r="T54" s="8" t="s">
        <v>477</v>
      </c>
      <c r="U54" s="8" t="s">
        <v>474</v>
      </c>
      <c r="V54" s="8" t="s">
        <v>164</v>
      </c>
      <c r="W54" s="8"/>
      <c r="X54" s="8" t="s">
        <v>289</v>
      </c>
      <c r="Y54" s="8" t="s">
        <v>589</v>
      </c>
      <c r="Z54" s="8" t="s">
        <v>1083</v>
      </c>
      <c r="AA54" s="8" t="s">
        <v>141</v>
      </c>
      <c r="AB54" s="8"/>
      <c r="AC54" s="8" t="s">
        <v>1084</v>
      </c>
      <c r="AD54" s="8" t="s">
        <v>252</v>
      </c>
      <c r="AE54" s="8" t="s">
        <v>181</v>
      </c>
      <c r="AF54" s="8" t="s">
        <v>253</v>
      </c>
      <c r="AG54" s="8" t="s">
        <v>703</v>
      </c>
      <c r="AH54" s="8" t="s">
        <v>486</v>
      </c>
      <c r="AI54" s="8"/>
      <c r="AJ54" s="8" t="s">
        <v>1088</v>
      </c>
      <c r="AK54" s="8" t="s">
        <v>141</v>
      </c>
      <c r="AL54" s="8" t="s">
        <v>1090</v>
      </c>
    </row>
    <row r="55" ht="15.75" customHeight="1">
      <c r="A55" s="7">
        <v>54.0</v>
      </c>
      <c r="B55" s="8" t="s">
        <v>1093</v>
      </c>
      <c r="C55" s="9" t="s">
        <v>1094</v>
      </c>
      <c r="D55" s="8" t="s">
        <v>137</v>
      </c>
      <c r="E55" s="8" t="s">
        <v>138</v>
      </c>
      <c r="F55" s="10">
        <v>15.0</v>
      </c>
      <c r="G55" s="10">
        <f t="shared" si="1"/>
        <v>180</v>
      </c>
      <c r="H55" s="8" t="s">
        <v>1097</v>
      </c>
      <c r="I55" s="8" t="s">
        <v>562</v>
      </c>
      <c r="J55" s="8" t="s">
        <v>164</v>
      </c>
      <c r="K55" s="8"/>
      <c r="L55" s="8"/>
      <c r="M55" s="8" t="s">
        <v>261</v>
      </c>
      <c r="N55" s="8" t="s">
        <v>170</v>
      </c>
      <c r="O55" s="8" t="s">
        <v>164</v>
      </c>
      <c r="P55" s="11"/>
      <c r="Q55" s="8"/>
      <c r="R55" s="8" t="s">
        <v>172</v>
      </c>
      <c r="S55" s="8" t="s">
        <v>474</v>
      </c>
      <c r="T55" s="8" t="s">
        <v>477</v>
      </c>
      <c r="U55" s="8" t="s">
        <v>474</v>
      </c>
      <c r="V55" s="8" t="s">
        <v>164</v>
      </c>
      <c r="W55" s="8"/>
      <c r="X55" s="8" t="s">
        <v>289</v>
      </c>
      <c r="Y55" s="8" t="s">
        <v>193</v>
      </c>
      <c r="Z55" s="8" t="s">
        <v>1104</v>
      </c>
      <c r="AA55" s="8" t="s">
        <v>195</v>
      </c>
      <c r="AB55" s="8"/>
      <c r="AC55" s="8" t="s">
        <v>1062</v>
      </c>
      <c r="AD55" s="8" t="s">
        <v>180</v>
      </c>
      <c r="AE55" s="8" t="s">
        <v>181</v>
      </c>
      <c r="AF55" s="8" t="s">
        <v>182</v>
      </c>
      <c r="AG55" s="8" t="s">
        <v>703</v>
      </c>
      <c r="AH55" s="8"/>
      <c r="AI55" s="8"/>
      <c r="AJ55" s="8" t="s">
        <v>1108</v>
      </c>
      <c r="AK55" s="8" t="s">
        <v>141</v>
      </c>
      <c r="AL55" s="8" t="s">
        <v>1110</v>
      </c>
    </row>
    <row r="56" ht="15.75" customHeight="1">
      <c r="A56" s="7">
        <v>55.0</v>
      </c>
      <c r="B56" s="8" t="s">
        <v>1112</v>
      </c>
      <c r="C56" s="9" t="s">
        <v>1114</v>
      </c>
      <c r="D56" s="8" t="s">
        <v>137</v>
      </c>
      <c r="E56" s="8" t="s">
        <v>138</v>
      </c>
      <c r="F56" s="10">
        <v>30.0</v>
      </c>
      <c r="G56" s="10">
        <f t="shared" si="1"/>
        <v>360</v>
      </c>
      <c r="H56" s="8" t="s">
        <v>1117</v>
      </c>
      <c r="I56" s="8" t="s">
        <v>1119</v>
      </c>
      <c r="J56" s="8" t="s">
        <v>164</v>
      </c>
      <c r="K56" s="8"/>
      <c r="L56" s="8"/>
      <c r="M56" s="8" t="s">
        <v>261</v>
      </c>
      <c r="N56" s="8" t="s">
        <v>170</v>
      </c>
      <c r="O56" s="8" t="s">
        <v>164</v>
      </c>
      <c r="P56" s="11"/>
      <c r="Q56" s="8"/>
      <c r="R56" s="8" t="s">
        <v>172</v>
      </c>
      <c r="S56" s="8" t="s">
        <v>474</v>
      </c>
      <c r="T56" s="8" t="s">
        <v>477</v>
      </c>
      <c r="U56" s="8" t="s">
        <v>474</v>
      </c>
      <c r="V56" s="8" t="s">
        <v>164</v>
      </c>
      <c r="W56" s="8"/>
      <c r="X56" s="8" t="s">
        <v>1126</v>
      </c>
      <c r="Y56" s="8" t="s">
        <v>193</v>
      </c>
      <c r="Z56" s="8" t="s">
        <v>1129</v>
      </c>
      <c r="AA56" s="8" t="s">
        <v>195</v>
      </c>
      <c r="AB56" s="8"/>
      <c r="AC56" s="8" t="s">
        <v>1132</v>
      </c>
      <c r="AD56" s="8" t="s">
        <v>157</v>
      </c>
      <c r="AE56" s="8" t="s">
        <v>158</v>
      </c>
      <c r="AF56" s="8" t="s">
        <v>1133</v>
      </c>
      <c r="AG56" s="8" t="s">
        <v>1134</v>
      </c>
      <c r="AH56" s="8"/>
      <c r="AI56" s="8"/>
      <c r="AJ56" s="8" t="s">
        <v>1136</v>
      </c>
      <c r="AK56" s="8" t="s">
        <v>164</v>
      </c>
      <c r="AL56" s="8"/>
    </row>
    <row r="57" ht="15.75" customHeight="1">
      <c r="A57" s="7">
        <v>56.0</v>
      </c>
      <c r="B57" s="8" t="s">
        <v>1147</v>
      </c>
      <c r="C57" s="9" t="s">
        <v>1148</v>
      </c>
      <c r="D57" s="8" t="s">
        <v>137</v>
      </c>
      <c r="E57" s="8" t="s">
        <v>138</v>
      </c>
      <c r="F57" s="10">
        <v>10.0</v>
      </c>
      <c r="G57" s="10">
        <f t="shared" si="1"/>
        <v>120</v>
      </c>
      <c r="H57" s="8" t="s">
        <v>707</v>
      </c>
      <c r="I57" s="8" t="s">
        <v>1153</v>
      </c>
      <c r="J57" s="8" t="s">
        <v>164</v>
      </c>
      <c r="K57" s="8"/>
      <c r="L57" s="8"/>
      <c r="M57" s="8" t="s">
        <v>261</v>
      </c>
      <c r="N57" s="8" t="s">
        <v>170</v>
      </c>
      <c r="O57" s="8" t="s">
        <v>164</v>
      </c>
      <c r="P57" s="11"/>
      <c r="Q57" s="8"/>
      <c r="R57" s="8" t="s">
        <v>172</v>
      </c>
      <c r="S57" s="8" t="s">
        <v>474</v>
      </c>
      <c r="T57" s="8" t="s">
        <v>477</v>
      </c>
      <c r="U57" s="8" t="s">
        <v>474</v>
      </c>
      <c r="V57" s="8" t="s">
        <v>164</v>
      </c>
      <c r="W57" s="8"/>
      <c r="X57" s="8" t="s">
        <v>289</v>
      </c>
      <c r="Y57" s="8" t="s">
        <v>589</v>
      </c>
      <c r="Z57" s="8" t="s">
        <v>1158</v>
      </c>
      <c r="AA57" s="8" t="s">
        <v>141</v>
      </c>
      <c r="AB57" s="8"/>
      <c r="AC57" s="8" t="s">
        <v>1160</v>
      </c>
      <c r="AD57" s="8" t="s">
        <v>180</v>
      </c>
      <c r="AE57" s="8" t="s">
        <v>181</v>
      </c>
      <c r="AF57" s="8" t="s">
        <v>182</v>
      </c>
      <c r="AG57" s="8" t="s">
        <v>182</v>
      </c>
      <c r="AH57" s="8"/>
      <c r="AI57" s="8"/>
      <c r="AJ57" s="8" t="s">
        <v>1163</v>
      </c>
      <c r="AK57" s="8" t="s">
        <v>164</v>
      </c>
      <c r="AL57" s="8"/>
    </row>
    <row r="58" ht="15.75" customHeight="1">
      <c r="A58" s="7">
        <v>57.0</v>
      </c>
      <c r="B58" s="8" t="s">
        <v>1166</v>
      </c>
      <c r="C58" s="9" t="s">
        <v>1168</v>
      </c>
      <c r="D58" s="8" t="s">
        <v>137</v>
      </c>
      <c r="E58" s="8" t="s">
        <v>138</v>
      </c>
      <c r="F58" s="10">
        <v>20.0</v>
      </c>
      <c r="G58" s="10">
        <f t="shared" si="1"/>
        <v>240</v>
      </c>
      <c r="H58" s="8" t="s">
        <v>1172</v>
      </c>
      <c r="I58" s="8" t="s">
        <v>1173</v>
      </c>
      <c r="J58" s="8" t="s">
        <v>164</v>
      </c>
      <c r="K58" s="8"/>
      <c r="L58" s="8"/>
      <c r="M58" s="8" t="s">
        <v>144</v>
      </c>
      <c r="N58" s="8" t="s">
        <v>170</v>
      </c>
      <c r="O58" s="8" t="s">
        <v>164</v>
      </c>
      <c r="P58" s="11"/>
      <c r="Q58" s="8"/>
      <c r="R58" s="8" t="s">
        <v>172</v>
      </c>
      <c r="S58" s="8" t="s">
        <v>474</v>
      </c>
      <c r="T58" s="8" t="s">
        <v>477</v>
      </c>
      <c r="U58" s="8" t="s">
        <v>474</v>
      </c>
      <c r="V58" s="8" t="s">
        <v>164</v>
      </c>
      <c r="W58" s="8"/>
      <c r="X58" s="8" t="s">
        <v>289</v>
      </c>
      <c r="Y58" s="8" t="s">
        <v>249</v>
      </c>
      <c r="Z58" s="8" t="s">
        <v>1182</v>
      </c>
      <c r="AA58" s="8" t="s">
        <v>195</v>
      </c>
      <c r="AB58" s="8"/>
      <c r="AC58" s="8" t="s">
        <v>1183</v>
      </c>
      <c r="AD58" s="8" t="s">
        <v>180</v>
      </c>
      <c r="AE58" s="8" t="s">
        <v>181</v>
      </c>
      <c r="AF58" s="8" t="s">
        <v>182</v>
      </c>
      <c r="AG58" s="8" t="s">
        <v>182</v>
      </c>
      <c r="AH58" s="8"/>
      <c r="AI58" s="8"/>
      <c r="AJ58" s="8" t="s">
        <v>1187</v>
      </c>
      <c r="AK58" s="8" t="s">
        <v>164</v>
      </c>
      <c r="AL58" s="8"/>
    </row>
    <row r="59" ht="15.75" customHeight="1">
      <c r="A59" s="7">
        <v>58.0</v>
      </c>
      <c r="B59" s="8" t="s">
        <v>1191</v>
      </c>
      <c r="C59" s="9" t="s">
        <v>1192</v>
      </c>
      <c r="D59" s="8" t="s">
        <v>137</v>
      </c>
      <c r="E59" s="8" t="s">
        <v>138</v>
      </c>
      <c r="F59" s="10">
        <v>10.0</v>
      </c>
      <c r="G59" s="10">
        <f t="shared" si="1"/>
        <v>120</v>
      </c>
      <c r="H59" s="8" t="s">
        <v>1195</v>
      </c>
      <c r="I59" s="8" t="s">
        <v>1196</v>
      </c>
      <c r="J59" s="8" t="s">
        <v>164</v>
      </c>
      <c r="K59" s="8"/>
      <c r="L59" s="8"/>
      <c r="M59" s="8" t="s">
        <v>144</v>
      </c>
      <c r="N59" s="8" t="s">
        <v>170</v>
      </c>
      <c r="O59" s="8" t="s">
        <v>164</v>
      </c>
      <c r="P59" s="11"/>
      <c r="Q59" s="8"/>
      <c r="R59" s="8" t="s">
        <v>172</v>
      </c>
      <c r="S59" s="8" t="s">
        <v>173</v>
      </c>
      <c r="T59" s="8" t="s">
        <v>174</v>
      </c>
      <c r="U59" s="8" t="s">
        <v>173</v>
      </c>
      <c r="V59" s="8" t="s">
        <v>164</v>
      </c>
      <c r="W59" s="8"/>
      <c r="X59" s="8" t="s">
        <v>289</v>
      </c>
      <c r="Y59" s="8" t="s">
        <v>193</v>
      </c>
      <c r="Z59" s="8" t="s">
        <v>1197</v>
      </c>
      <c r="AA59" s="8" t="s">
        <v>195</v>
      </c>
      <c r="AB59" s="8" t="s">
        <v>518</v>
      </c>
      <c r="AC59" s="8" t="s">
        <v>1198</v>
      </c>
      <c r="AD59" s="8" t="s">
        <v>180</v>
      </c>
      <c r="AE59" s="8" t="s">
        <v>181</v>
      </c>
      <c r="AF59" s="8" t="s">
        <v>182</v>
      </c>
      <c r="AG59" s="8" t="s">
        <v>182</v>
      </c>
      <c r="AH59" s="8"/>
      <c r="AI59" s="8" t="s">
        <v>1199</v>
      </c>
      <c r="AJ59" s="8" t="s">
        <v>1200</v>
      </c>
      <c r="AK59" s="8" t="s">
        <v>141</v>
      </c>
      <c r="AL59" s="8" t="s">
        <v>1201</v>
      </c>
    </row>
    <row r="60" ht="15.75" customHeight="1">
      <c r="A60" s="7">
        <v>59.0</v>
      </c>
      <c r="B60" s="8" t="s">
        <v>1202</v>
      </c>
      <c r="C60" s="9" t="s">
        <v>1203</v>
      </c>
      <c r="D60" s="8" t="s">
        <v>137</v>
      </c>
      <c r="E60" s="8" t="s">
        <v>138</v>
      </c>
      <c r="F60" s="10">
        <v>30.0</v>
      </c>
      <c r="G60" s="10">
        <f t="shared" si="1"/>
        <v>360</v>
      </c>
      <c r="H60" s="8" t="s">
        <v>1204</v>
      </c>
      <c r="I60" s="8" t="s">
        <v>1205</v>
      </c>
      <c r="J60" s="8" t="s">
        <v>164</v>
      </c>
      <c r="K60" s="8"/>
      <c r="L60" s="8"/>
      <c r="M60" s="8" t="s">
        <v>261</v>
      </c>
      <c r="N60" s="8" t="s">
        <v>170</v>
      </c>
      <c r="O60" s="8" t="s">
        <v>164</v>
      </c>
      <c r="P60" s="11"/>
      <c r="Q60" s="8"/>
      <c r="R60" s="8" t="s">
        <v>172</v>
      </c>
      <c r="S60" s="8" t="s">
        <v>474</v>
      </c>
      <c r="T60" s="8" t="s">
        <v>477</v>
      </c>
      <c r="U60" s="8" t="s">
        <v>474</v>
      </c>
      <c r="V60" s="8" t="s">
        <v>164</v>
      </c>
      <c r="W60" s="8"/>
      <c r="X60" s="8" t="s">
        <v>1206</v>
      </c>
      <c r="Y60" s="8" t="s">
        <v>154</v>
      </c>
      <c r="Z60" s="8" t="s">
        <v>1207</v>
      </c>
      <c r="AA60" s="8" t="s">
        <v>141</v>
      </c>
      <c r="AB60" s="8"/>
      <c r="AC60" s="8" t="s">
        <v>1208</v>
      </c>
      <c r="AD60" s="8" t="s">
        <v>157</v>
      </c>
      <c r="AE60" s="8" t="s">
        <v>158</v>
      </c>
      <c r="AF60" s="8" t="s">
        <v>1209</v>
      </c>
      <c r="AG60" s="8" t="s">
        <v>1210</v>
      </c>
      <c r="AH60" s="8"/>
      <c r="AI60" s="8" t="s">
        <v>1211</v>
      </c>
      <c r="AJ60" s="8" t="s">
        <v>1212</v>
      </c>
      <c r="AK60" s="8" t="s">
        <v>141</v>
      </c>
      <c r="AL60" s="8" t="s">
        <v>1213</v>
      </c>
    </row>
    <row r="61" ht="15.75" customHeight="1">
      <c r="A61" s="7">
        <v>60.0</v>
      </c>
      <c r="B61" s="8" t="s">
        <v>1214</v>
      </c>
      <c r="C61" s="9" t="s">
        <v>1215</v>
      </c>
      <c r="D61" s="8" t="s">
        <v>137</v>
      </c>
      <c r="E61" s="8" t="s">
        <v>138</v>
      </c>
      <c r="F61" s="10">
        <v>20.0</v>
      </c>
      <c r="G61" s="10">
        <f t="shared" si="1"/>
        <v>240</v>
      </c>
      <c r="H61" s="8" t="s">
        <v>1216</v>
      </c>
      <c r="I61" s="8" t="s">
        <v>1217</v>
      </c>
      <c r="J61" s="8" t="s">
        <v>164</v>
      </c>
      <c r="K61" s="8"/>
      <c r="L61" s="8"/>
      <c r="M61" s="8" t="s">
        <v>261</v>
      </c>
      <c r="N61" s="8" t="s">
        <v>170</v>
      </c>
      <c r="O61" s="8" t="s">
        <v>164</v>
      </c>
      <c r="P61" s="11"/>
      <c r="Q61" s="8"/>
      <c r="R61" s="8" t="s">
        <v>172</v>
      </c>
      <c r="S61" s="8" t="s">
        <v>173</v>
      </c>
      <c r="T61" s="8" t="s">
        <v>174</v>
      </c>
      <c r="U61" s="8" t="s">
        <v>173</v>
      </c>
      <c r="V61" s="8" t="s">
        <v>164</v>
      </c>
      <c r="W61" s="8"/>
      <c r="X61" s="8" t="s">
        <v>289</v>
      </c>
      <c r="Y61" s="8" t="s">
        <v>193</v>
      </c>
      <c r="Z61" s="8" t="s">
        <v>1218</v>
      </c>
      <c r="AA61" s="8" t="s">
        <v>195</v>
      </c>
      <c r="AB61" s="8" t="s">
        <v>518</v>
      </c>
      <c r="AC61" s="8" t="s">
        <v>1219</v>
      </c>
      <c r="AD61" s="8" t="s">
        <v>180</v>
      </c>
      <c r="AE61" s="8" t="s">
        <v>181</v>
      </c>
      <c r="AF61" s="8" t="s">
        <v>182</v>
      </c>
      <c r="AG61" s="8" t="s">
        <v>182</v>
      </c>
      <c r="AH61" s="8"/>
      <c r="AI61" s="8" t="s">
        <v>1220</v>
      </c>
      <c r="AJ61" s="8" t="s">
        <v>1221</v>
      </c>
      <c r="AK61" s="8" t="s">
        <v>141</v>
      </c>
      <c r="AL61" s="8" t="s">
        <v>1222</v>
      </c>
    </row>
    <row r="62" ht="15.75" customHeight="1">
      <c r="A62" s="7">
        <v>61.0</v>
      </c>
      <c r="B62" s="8" t="s">
        <v>1223</v>
      </c>
      <c r="C62" s="9" t="s">
        <v>1224</v>
      </c>
      <c r="D62" s="8" t="s">
        <v>137</v>
      </c>
      <c r="E62" s="8" t="s">
        <v>138</v>
      </c>
      <c r="F62" s="10">
        <v>40.0</v>
      </c>
      <c r="G62" s="10">
        <f t="shared" si="1"/>
        <v>480</v>
      </c>
      <c r="H62" s="8" t="s">
        <v>548</v>
      </c>
      <c r="I62" s="8" t="s">
        <v>557</v>
      </c>
      <c r="J62" s="8" t="s">
        <v>141</v>
      </c>
      <c r="K62" s="8" t="s">
        <v>743</v>
      </c>
      <c r="L62" s="8" t="s">
        <v>1225</v>
      </c>
      <c r="M62" s="8" t="s">
        <v>144</v>
      </c>
      <c r="N62" s="8" t="s">
        <v>145</v>
      </c>
      <c r="O62" s="8" t="s">
        <v>141</v>
      </c>
      <c r="P62" s="11">
        <v>1.0</v>
      </c>
      <c r="Q62" s="8" t="s">
        <v>1226</v>
      </c>
      <c r="R62" s="8" t="s">
        <v>172</v>
      </c>
      <c r="S62" s="8" t="s">
        <v>173</v>
      </c>
      <c r="T62" s="8" t="s">
        <v>174</v>
      </c>
      <c r="U62" s="8" t="s">
        <v>173</v>
      </c>
      <c r="V62" s="8" t="s">
        <v>164</v>
      </c>
      <c r="W62" s="8" t="s">
        <v>333</v>
      </c>
      <c r="X62" s="8" t="s">
        <v>289</v>
      </c>
      <c r="Y62" s="8" t="s">
        <v>176</v>
      </c>
      <c r="Z62" s="8" t="s">
        <v>1227</v>
      </c>
      <c r="AA62" s="8" t="s">
        <v>195</v>
      </c>
      <c r="AB62" s="8" t="s">
        <v>518</v>
      </c>
      <c r="AC62" s="8" t="s">
        <v>1228</v>
      </c>
      <c r="AD62" s="8" t="s">
        <v>180</v>
      </c>
      <c r="AE62" s="8" t="s">
        <v>181</v>
      </c>
      <c r="AF62" s="8" t="s">
        <v>182</v>
      </c>
      <c r="AG62" s="8" t="s">
        <v>182</v>
      </c>
      <c r="AH62" s="8"/>
      <c r="AI62" s="8" t="s">
        <v>1229</v>
      </c>
      <c r="AJ62" s="8" t="s">
        <v>1230</v>
      </c>
      <c r="AK62" s="8" t="s">
        <v>141</v>
      </c>
      <c r="AL62" s="8" t="s">
        <v>1231</v>
      </c>
    </row>
    <row r="63" ht="15.75" customHeight="1">
      <c r="A63" s="7">
        <v>62.0</v>
      </c>
      <c r="B63" s="8" t="s">
        <v>1232</v>
      </c>
      <c r="C63" s="9" t="s">
        <v>1233</v>
      </c>
      <c r="D63" s="8" t="s">
        <v>137</v>
      </c>
      <c r="E63" s="8" t="s">
        <v>138</v>
      </c>
      <c r="F63" s="10">
        <v>40.0</v>
      </c>
      <c r="G63" s="10">
        <f t="shared" si="1"/>
        <v>480</v>
      </c>
      <c r="H63" s="8" t="s">
        <v>548</v>
      </c>
      <c r="I63" s="8" t="s">
        <v>1234</v>
      </c>
      <c r="J63" s="8" t="s">
        <v>164</v>
      </c>
      <c r="K63" s="8"/>
      <c r="L63" s="8"/>
      <c r="M63" s="8" t="s">
        <v>261</v>
      </c>
      <c r="N63" s="8" t="s">
        <v>170</v>
      </c>
      <c r="O63" s="8" t="s">
        <v>164</v>
      </c>
      <c r="P63" s="11"/>
      <c r="Q63" s="8"/>
      <c r="R63" s="8" t="s">
        <v>172</v>
      </c>
      <c r="S63" s="8" t="s">
        <v>173</v>
      </c>
      <c r="T63" s="8" t="s">
        <v>174</v>
      </c>
      <c r="U63" s="8" t="s">
        <v>173</v>
      </c>
      <c r="V63" s="8" t="s">
        <v>164</v>
      </c>
      <c r="W63" s="8"/>
      <c r="X63" s="8" t="s">
        <v>289</v>
      </c>
      <c r="Y63" s="8" t="s">
        <v>176</v>
      </c>
      <c r="Z63" s="8" t="s">
        <v>1235</v>
      </c>
      <c r="AA63" s="8" t="s">
        <v>195</v>
      </c>
      <c r="AB63" s="8" t="s">
        <v>518</v>
      </c>
      <c r="AC63" s="8" t="s">
        <v>1236</v>
      </c>
      <c r="AD63" s="8" t="s">
        <v>180</v>
      </c>
      <c r="AE63" s="8" t="s">
        <v>181</v>
      </c>
      <c r="AF63" s="8" t="s">
        <v>182</v>
      </c>
      <c r="AG63" s="8" t="s">
        <v>182</v>
      </c>
      <c r="AH63" s="8"/>
      <c r="AI63" s="8"/>
      <c r="AJ63" s="8" t="s">
        <v>1237</v>
      </c>
      <c r="AK63" s="8" t="s">
        <v>141</v>
      </c>
      <c r="AL63" s="8" t="s">
        <v>1238</v>
      </c>
    </row>
    <row r="64" ht="15.75" customHeight="1">
      <c r="A64" s="7">
        <v>63.0</v>
      </c>
      <c r="B64" s="8" t="s">
        <v>1239</v>
      </c>
      <c r="C64" s="9" t="s">
        <v>1240</v>
      </c>
      <c r="D64" s="8" t="s">
        <v>137</v>
      </c>
      <c r="E64" s="8" t="s">
        <v>138</v>
      </c>
      <c r="F64" s="10">
        <v>35.0</v>
      </c>
      <c r="G64" s="10">
        <f t="shared" si="1"/>
        <v>420</v>
      </c>
      <c r="H64" s="8" t="s">
        <v>1032</v>
      </c>
      <c r="I64" s="8" t="s">
        <v>1241</v>
      </c>
      <c r="J64" s="8" t="s">
        <v>164</v>
      </c>
      <c r="K64" s="8"/>
      <c r="L64" s="8"/>
      <c r="M64" s="8" t="s">
        <v>261</v>
      </c>
      <c r="N64" s="8" t="s">
        <v>170</v>
      </c>
      <c r="O64" s="8" t="s">
        <v>164</v>
      </c>
      <c r="P64" s="11"/>
      <c r="Q64" s="8"/>
      <c r="R64" s="8" t="s">
        <v>172</v>
      </c>
      <c r="S64" s="8" t="s">
        <v>474</v>
      </c>
      <c r="T64" s="8" t="s">
        <v>477</v>
      </c>
      <c r="U64" s="8" t="s">
        <v>474</v>
      </c>
      <c r="V64" s="8" t="s">
        <v>164</v>
      </c>
      <c r="W64" s="8"/>
      <c r="X64" s="8" t="s">
        <v>289</v>
      </c>
      <c r="Y64" s="8" t="s">
        <v>193</v>
      </c>
      <c r="Z64" s="8" t="s">
        <v>1242</v>
      </c>
      <c r="AA64" s="8" t="s">
        <v>195</v>
      </c>
      <c r="AB64" s="8"/>
      <c r="AC64" s="8" t="s">
        <v>1062</v>
      </c>
      <c r="AD64" s="8" t="s">
        <v>180</v>
      </c>
      <c r="AE64" s="8" t="s">
        <v>181</v>
      </c>
      <c r="AF64" s="8" t="s">
        <v>182</v>
      </c>
      <c r="AG64" s="8" t="s">
        <v>182</v>
      </c>
      <c r="AH64" s="8"/>
      <c r="AI64" s="8"/>
      <c r="AJ64" s="8" t="s">
        <v>1243</v>
      </c>
      <c r="AK64" s="8" t="s">
        <v>164</v>
      </c>
      <c r="AL64" s="8"/>
    </row>
    <row r="65" ht="15.75" customHeight="1">
      <c r="A65" s="7">
        <v>64.0</v>
      </c>
      <c r="B65" s="8" t="s">
        <v>1244</v>
      </c>
      <c r="C65" s="9" t="s">
        <v>1245</v>
      </c>
      <c r="D65" s="8" t="s">
        <v>137</v>
      </c>
      <c r="E65" s="8" t="s">
        <v>138</v>
      </c>
      <c r="F65" s="10">
        <v>20.0</v>
      </c>
      <c r="G65" s="10">
        <f t="shared" si="1"/>
        <v>240</v>
      </c>
      <c r="H65" s="8" t="s">
        <v>1246</v>
      </c>
      <c r="I65" s="8" t="s">
        <v>1247</v>
      </c>
      <c r="J65" s="8" t="s">
        <v>164</v>
      </c>
      <c r="K65" s="8"/>
      <c r="L65" s="8"/>
      <c r="M65" s="8" t="s">
        <v>261</v>
      </c>
      <c r="N65" s="8" t="s">
        <v>170</v>
      </c>
      <c r="O65" s="8" t="s">
        <v>164</v>
      </c>
      <c r="P65" s="11"/>
      <c r="Q65" s="8"/>
      <c r="R65" s="8" t="s">
        <v>172</v>
      </c>
      <c r="S65" s="8" t="s">
        <v>474</v>
      </c>
      <c r="T65" s="8" t="s">
        <v>477</v>
      </c>
      <c r="U65" s="8" t="s">
        <v>474</v>
      </c>
      <c r="V65" s="8" t="s">
        <v>164</v>
      </c>
      <c r="W65" s="8"/>
      <c r="X65" s="8" t="s">
        <v>289</v>
      </c>
      <c r="Y65" s="8" t="s">
        <v>193</v>
      </c>
      <c r="Z65" s="8" t="s">
        <v>1248</v>
      </c>
      <c r="AA65" s="8" t="s">
        <v>195</v>
      </c>
      <c r="AB65" s="8"/>
      <c r="AC65" s="8" t="s">
        <v>895</v>
      </c>
      <c r="AD65" s="8" t="s">
        <v>180</v>
      </c>
      <c r="AE65" s="8" t="s">
        <v>181</v>
      </c>
      <c r="AF65" s="8" t="s">
        <v>182</v>
      </c>
      <c r="AG65" s="8" t="s">
        <v>182</v>
      </c>
      <c r="AH65" s="8"/>
      <c r="AI65" s="8"/>
      <c r="AJ65" s="8" t="s">
        <v>1249</v>
      </c>
      <c r="AK65" s="8" t="s">
        <v>164</v>
      </c>
      <c r="AL65" s="8"/>
    </row>
    <row r="66" ht="15.75" customHeight="1">
      <c r="A66" s="7">
        <v>65.0</v>
      </c>
      <c r="B66" s="8" t="s">
        <v>1250</v>
      </c>
      <c r="C66" s="9" t="s">
        <v>1251</v>
      </c>
      <c r="D66" s="8" t="s">
        <v>137</v>
      </c>
      <c r="E66" s="8" t="s">
        <v>138</v>
      </c>
      <c r="F66" s="10">
        <v>20.0</v>
      </c>
      <c r="G66" s="10">
        <f t="shared" si="1"/>
        <v>240</v>
      </c>
      <c r="H66" s="8" t="s">
        <v>1252</v>
      </c>
      <c r="I66" s="8" t="s">
        <v>1253</v>
      </c>
      <c r="J66" s="8" t="s">
        <v>164</v>
      </c>
      <c r="K66" s="8"/>
      <c r="L66" s="8"/>
      <c r="M66" s="8" t="s">
        <v>261</v>
      </c>
      <c r="N66" s="8" t="s">
        <v>170</v>
      </c>
      <c r="O66" s="8" t="s">
        <v>164</v>
      </c>
      <c r="P66" s="11"/>
      <c r="Q66" s="8"/>
      <c r="R66" s="8" t="s">
        <v>172</v>
      </c>
      <c r="S66" s="8" t="s">
        <v>586</v>
      </c>
      <c r="T66" s="8" t="s">
        <v>39</v>
      </c>
      <c r="U66" s="8" t="s">
        <v>586</v>
      </c>
      <c r="V66" s="8" t="s">
        <v>164</v>
      </c>
      <c r="W66" s="8"/>
      <c r="X66" s="8" t="s">
        <v>289</v>
      </c>
      <c r="Y66" s="8" t="s">
        <v>193</v>
      </c>
      <c r="Z66" s="8" t="s">
        <v>1254</v>
      </c>
      <c r="AA66" s="8" t="s">
        <v>141</v>
      </c>
      <c r="AB66" s="8"/>
      <c r="AC66" s="8" t="s">
        <v>1255</v>
      </c>
      <c r="AD66" s="8" t="s">
        <v>180</v>
      </c>
      <c r="AE66" s="8" t="s">
        <v>181</v>
      </c>
      <c r="AF66" s="8" t="s">
        <v>182</v>
      </c>
      <c r="AG66" s="8" t="s">
        <v>182</v>
      </c>
      <c r="AH66" s="8"/>
      <c r="AI66" s="8" t="s">
        <v>1256</v>
      </c>
      <c r="AJ66" s="8" t="s">
        <v>1257</v>
      </c>
      <c r="AK66" s="8" t="s">
        <v>164</v>
      </c>
      <c r="AL66" s="8"/>
    </row>
    <row r="67" ht="15.75" customHeight="1">
      <c r="A67" s="7">
        <v>66.0</v>
      </c>
      <c r="B67" s="8" t="s">
        <v>1258</v>
      </c>
      <c r="C67" s="9" t="s">
        <v>1259</v>
      </c>
      <c r="D67" s="8" t="s">
        <v>137</v>
      </c>
      <c r="E67" s="8" t="s">
        <v>138</v>
      </c>
      <c r="F67" s="10">
        <v>12.0</v>
      </c>
      <c r="G67" s="10">
        <f t="shared" si="1"/>
        <v>144</v>
      </c>
      <c r="H67" s="8" t="s">
        <v>1260</v>
      </c>
      <c r="I67" s="8" t="s">
        <v>1261</v>
      </c>
      <c r="J67" s="8" t="s">
        <v>164</v>
      </c>
      <c r="K67" s="8"/>
      <c r="L67" s="8"/>
      <c r="M67" s="8" t="s">
        <v>261</v>
      </c>
      <c r="N67" s="8" t="s">
        <v>170</v>
      </c>
      <c r="O67" s="8" t="s">
        <v>164</v>
      </c>
      <c r="P67" s="11"/>
      <c r="Q67" s="8"/>
      <c r="R67" s="8" t="s">
        <v>172</v>
      </c>
      <c r="S67" s="8" t="s">
        <v>474</v>
      </c>
      <c r="T67" s="8" t="s">
        <v>477</v>
      </c>
      <c r="U67" s="8" t="s">
        <v>474</v>
      </c>
      <c r="V67" s="8" t="s">
        <v>164</v>
      </c>
      <c r="W67" s="8"/>
      <c r="X67" s="8" t="s">
        <v>289</v>
      </c>
      <c r="Y67" s="8" t="s">
        <v>249</v>
      </c>
      <c r="Z67" s="8" t="s">
        <v>1262</v>
      </c>
      <c r="AA67" s="8" t="s">
        <v>195</v>
      </c>
      <c r="AB67" s="8"/>
      <c r="AC67" s="8" t="s">
        <v>1062</v>
      </c>
      <c r="AD67" s="8" t="s">
        <v>180</v>
      </c>
      <c r="AE67" s="8" t="s">
        <v>181</v>
      </c>
      <c r="AF67" s="8" t="s">
        <v>182</v>
      </c>
      <c r="AG67" s="8" t="s">
        <v>182</v>
      </c>
      <c r="AH67" s="8"/>
      <c r="AI67" s="8"/>
      <c r="AJ67" s="8" t="s">
        <v>1263</v>
      </c>
      <c r="AK67" s="8" t="s">
        <v>164</v>
      </c>
      <c r="AL67" s="8"/>
    </row>
    <row r="68" ht="15.75" customHeight="1">
      <c r="A68" s="7">
        <v>67.0</v>
      </c>
      <c r="B68" s="8" t="s">
        <v>1264</v>
      </c>
      <c r="C68" s="9" t="s">
        <v>1265</v>
      </c>
      <c r="D68" s="8" t="s">
        <v>137</v>
      </c>
      <c r="E68" s="8" t="s">
        <v>138</v>
      </c>
      <c r="F68" s="10">
        <v>12.0</v>
      </c>
      <c r="G68" s="10">
        <f t="shared" si="1"/>
        <v>144</v>
      </c>
      <c r="H68" s="8" t="s">
        <v>1266</v>
      </c>
      <c r="I68" s="8" t="s">
        <v>1267</v>
      </c>
      <c r="J68" s="8" t="s">
        <v>164</v>
      </c>
      <c r="K68" s="8"/>
      <c r="L68" s="8"/>
      <c r="M68" s="8" t="s">
        <v>144</v>
      </c>
      <c r="N68" s="8" t="s">
        <v>170</v>
      </c>
      <c r="O68" s="8" t="s">
        <v>164</v>
      </c>
      <c r="P68" s="11"/>
      <c r="Q68" s="8"/>
      <c r="R68" s="8" t="s">
        <v>172</v>
      </c>
      <c r="S68" s="8" t="s">
        <v>173</v>
      </c>
      <c r="T68" s="8" t="s">
        <v>174</v>
      </c>
      <c r="U68" s="8" t="s">
        <v>173</v>
      </c>
      <c r="V68" s="8" t="s">
        <v>164</v>
      </c>
      <c r="W68" s="8"/>
      <c r="X68" s="8" t="s">
        <v>289</v>
      </c>
      <c r="Y68" s="8" t="s">
        <v>176</v>
      </c>
      <c r="Z68" s="8" t="s">
        <v>1268</v>
      </c>
      <c r="AA68" s="8" t="s">
        <v>164</v>
      </c>
      <c r="AB68" s="8" t="s">
        <v>178</v>
      </c>
      <c r="AC68" s="8" t="s">
        <v>1219</v>
      </c>
      <c r="AD68" s="8" t="s">
        <v>180</v>
      </c>
      <c r="AE68" s="8" t="s">
        <v>181</v>
      </c>
      <c r="AF68" s="8" t="s">
        <v>182</v>
      </c>
      <c r="AG68" s="8" t="s">
        <v>182</v>
      </c>
      <c r="AH68" s="8"/>
      <c r="AI68" s="8" t="s">
        <v>1269</v>
      </c>
      <c r="AJ68" s="8" t="s">
        <v>1270</v>
      </c>
      <c r="AK68" s="8" t="s">
        <v>141</v>
      </c>
      <c r="AL68" s="8" t="s">
        <v>1271</v>
      </c>
    </row>
    <row r="69" ht="15.75" customHeight="1">
      <c r="A69" s="7">
        <v>68.0</v>
      </c>
      <c r="B69" s="8" t="s">
        <v>1272</v>
      </c>
      <c r="C69" s="9" t="s">
        <v>1273</v>
      </c>
      <c r="D69" s="8" t="s">
        <v>137</v>
      </c>
      <c r="E69" s="8" t="s">
        <v>138</v>
      </c>
      <c r="F69" s="10">
        <v>20.0</v>
      </c>
      <c r="G69" s="10">
        <f t="shared" si="1"/>
        <v>240</v>
      </c>
      <c r="H69" s="8" t="s">
        <v>1274</v>
      </c>
      <c r="I69" s="8" t="s">
        <v>1275</v>
      </c>
      <c r="J69" s="8" t="s">
        <v>164</v>
      </c>
      <c r="K69" s="8"/>
      <c r="L69" s="8"/>
      <c r="M69" s="8" t="s">
        <v>261</v>
      </c>
      <c r="N69" s="8" t="s">
        <v>170</v>
      </c>
      <c r="O69" s="8" t="s">
        <v>164</v>
      </c>
      <c r="P69" s="11"/>
      <c r="Q69" s="8"/>
      <c r="R69" s="8" t="s">
        <v>172</v>
      </c>
      <c r="S69" s="8" t="s">
        <v>173</v>
      </c>
      <c r="T69" s="8" t="s">
        <v>174</v>
      </c>
      <c r="U69" s="8" t="s">
        <v>173</v>
      </c>
      <c r="V69" s="8" t="s">
        <v>164</v>
      </c>
      <c r="W69" s="8"/>
      <c r="X69" s="8" t="s">
        <v>289</v>
      </c>
      <c r="Y69" s="8" t="s">
        <v>249</v>
      </c>
      <c r="Z69" s="8" t="s">
        <v>1276</v>
      </c>
      <c r="AA69" s="8" t="s">
        <v>195</v>
      </c>
      <c r="AB69" s="8" t="s">
        <v>178</v>
      </c>
      <c r="AC69" s="8" t="s">
        <v>1219</v>
      </c>
      <c r="AD69" s="8" t="s">
        <v>180</v>
      </c>
      <c r="AE69" s="8" t="s">
        <v>181</v>
      </c>
      <c r="AF69" s="8" t="s">
        <v>182</v>
      </c>
      <c r="AG69" s="8" t="s">
        <v>182</v>
      </c>
      <c r="AH69" s="8"/>
      <c r="AI69" s="8" t="s">
        <v>1277</v>
      </c>
      <c r="AJ69" s="8" t="s">
        <v>1278</v>
      </c>
      <c r="AK69" s="8" t="s">
        <v>141</v>
      </c>
      <c r="AL69" s="8" t="s">
        <v>1280</v>
      </c>
    </row>
    <row r="70" ht="15.75" customHeight="1">
      <c r="A70" s="7">
        <v>69.0</v>
      </c>
      <c r="B70" s="8" t="s">
        <v>1281</v>
      </c>
      <c r="C70" s="9" t="s">
        <v>1282</v>
      </c>
      <c r="D70" s="8" t="s">
        <v>137</v>
      </c>
      <c r="E70" s="8" t="s">
        <v>138</v>
      </c>
      <c r="F70" s="10">
        <v>30.0</v>
      </c>
      <c r="G70" s="10">
        <f t="shared" si="1"/>
        <v>360</v>
      </c>
      <c r="H70" s="8" t="s">
        <v>1284</v>
      </c>
      <c r="I70" s="8" t="s">
        <v>1285</v>
      </c>
      <c r="J70" s="8" t="s">
        <v>164</v>
      </c>
      <c r="K70" s="8"/>
      <c r="L70" s="8"/>
      <c r="M70" s="8" t="s">
        <v>261</v>
      </c>
      <c r="N70" s="8" t="s">
        <v>170</v>
      </c>
      <c r="O70" s="8" t="s">
        <v>164</v>
      </c>
      <c r="P70" s="11"/>
      <c r="Q70" s="8"/>
      <c r="R70" s="8" t="s">
        <v>172</v>
      </c>
      <c r="S70" s="8" t="s">
        <v>474</v>
      </c>
      <c r="T70" s="8" t="s">
        <v>477</v>
      </c>
      <c r="U70" s="8" t="s">
        <v>474</v>
      </c>
      <c r="V70" s="8" t="s">
        <v>164</v>
      </c>
      <c r="W70" s="8"/>
      <c r="X70" s="8" t="s">
        <v>289</v>
      </c>
      <c r="Y70" s="8" t="s">
        <v>249</v>
      </c>
      <c r="Z70" s="8" t="s">
        <v>1287</v>
      </c>
      <c r="AA70" s="8" t="s">
        <v>195</v>
      </c>
      <c r="AB70" s="8"/>
      <c r="AC70" s="8" t="s">
        <v>1289</v>
      </c>
      <c r="AD70" s="8" t="s">
        <v>180</v>
      </c>
      <c r="AE70" s="8" t="s">
        <v>181</v>
      </c>
      <c r="AF70" s="8" t="s">
        <v>182</v>
      </c>
      <c r="AG70" s="8" t="s">
        <v>182</v>
      </c>
      <c r="AH70" s="8"/>
      <c r="AI70" s="8" t="s">
        <v>1292</v>
      </c>
      <c r="AJ70" s="8" t="s">
        <v>1293</v>
      </c>
      <c r="AK70" s="8" t="s">
        <v>164</v>
      </c>
      <c r="AL70" s="8"/>
    </row>
    <row r="71" ht="15.75" customHeight="1">
      <c r="A71" s="7">
        <v>70.0</v>
      </c>
      <c r="B71" s="8" t="s">
        <v>1295</v>
      </c>
      <c r="C71" s="9" t="s">
        <v>1296</v>
      </c>
      <c r="D71" s="8" t="s">
        <v>137</v>
      </c>
      <c r="E71" s="8" t="s">
        <v>138</v>
      </c>
      <c r="F71" s="10">
        <v>15.0</v>
      </c>
      <c r="G71" s="10">
        <f t="shared" si="1"/>
        <v>180</v>
      </c>
      <c r="H71" s="8" t="s">
        <v>548</v>
      </c>
      <c r="I71" s="8" t="s">
        <v>1298</v>
      </c>
      <c r="J71" s="8" t="s">
        <v>164</v>
      </c>
      <c r="K71" s="8"/>
      <c r="L71" s="8"/>
      <c r="M71" s="8" t="s">
        <v>261</v>
      </c>
      <c r="N71" s="8" t="s">
        <v>170</v>
      </c>
      <c r="O71" s="8" t="s">
        <v>164</v>
      </c>
      <c r="P71" s="11"/>
      <c r="Q71" s="8"/>
      <c r="R71" s="8" t="s">
        <v>172</v>
      </c>
      <c r="S71" s="8" t="s">
        <v>173</v>
      </c>
      <c r="T71" s="8" t="s">
        <v>174</v>
      </c>
      <c r="U71" s="8" t="s">
        <v>173</v>
      </c>
      <c r="V71" s="8" t="s">
        <v>164</v>
      </c>
      <c r="W71" s="8"/>
      <c r="X71" s="8" t="s">
        <v>289</v>
      </c>
      <c r="Y71" s="8" t="s">
        <v>249</v>
      </c>
      <c r="Z71" s="8" t="s">
        <v>1303</v>
      </c>
      <c r="AA71" s="8" t="s">
        <v>164</v>
      </c>
      <c r="AB71" s="8" t="s">
        <v>178</v>
      </c>
      <c r="AC71" s="8" t="s">
        <v>415</v>
      </c>
      <c r="AD71" s="8" t="s">
        <v>180</v>
      </c>
      <c r="AE71" s="8" t="s">
        <v>181</v>
      </c>
      <c r="AF71" s="8" t="s">
        <v>182</v>
      </c>
      <c r="AG71" s="8" t="s">
        <v>182</v>
      </c>
      <c r="AH71" s="8"/>
      <c r="AI71" s="8"/>
      <c r="AJ71" s="8" t="s">
        <v>1307</v>
      </c>
      <c r="AK71" s="8" t="s">
        <v>141</v>
      </c>
      <c r="AL71" s="8" t="s">
        <v>1308</v>
      </c>
    </row>
    <row r="72" ht="15.75" customHeight="1">
      <c r="A72" s="7">
        <v>71.0</v>
      </c>
      <c r="B72" s="8" t="s">
        <v>1309</v>
      </c>
      <c r="C72" s="9" t="s">
        <v>1310</v>
      </c>
      <c r="D72" s="8" t="s">
        <v>137</v>
      </c>
      <c r="E72" s="8" t="s">
        <v>138</v>
      </c>
      <c r="F72" s="10">
        <v>50.0</v>
      </c>
      <c r="G72" s="10">
        <f t="shared" si="1"/>
        <v>600</v>
      </c>
      <c r="H72" s="8" t="s">
        <v>548</v>
      </c>
      <c r="I72" s="8" t="s">
        <v>1315</v>
      </c>
      <c r="J72" s="8" t="s">
        <v>164</v>
      </c>
      <c r="K72" s="8"/>
      <c r="L72" s="8"/>
      <c r="M72" s="8" t="s">
        <v>261</v>
      </c>
      <c r="N72" s="8" t="s">
        <v>170</v>
      </c>
      <c r="O72" s="8" t="s">
        <v>164</v>
      </c>
      <c r="P72" s="11"/>
      <c r="Q72" s="8"/>
      <c r="R72" s="8" t="s">
        <v>172</v>
      </c>
      <c r="S72" s="8" t="s">
        <v>474</v>
      </c>
      <c r="T72" s="8" t="s">
        <v>477</v>
      </c>
      <c r="U72" s="8" t="s">
        <v>474</v>
      </c>
      <c r="V72" s="8" t="s">
        <v>164</v>
      </c>
      <c r="W72" s="8"/>
      <c r="X72" s="8" t="s">
        <v>289</v>
      </c>
      <c r="Y72" s="8" t="s">
        <v>193</v>
      </c>
      <c r="Z72" s="8" t="s">
        <v>1318</v>
      </c>
      <c r="AA72" s="8" t="s">
        <v>195</v>
      </c>
      <c r="AB72" s="8"/>
      <c r="AC72" s="8" t="s">
        <v>1319</v>
      </c>
      <c r="AD72" s="8" t="s">
        <v>180</v>
      </c>
      <c r="AE72" s="8" t="s">
        <v>181</v>
      </c>
      <c r="AF72" s="8" t="s">
        <v>182</v>
      </c>
      <c r="AG72" s="8" t="s">
        <v>182</v>
      </c>
      <c r="AH72" s="8"/>
      <c r="AI72" s="8"/>
      <c r="AJ72" s="8" t="s">
        <v>1321</v>
      </c>
      <c r="AK72" s="8" t="s">
        <v>164</v>
      </c>
      <c r="AL72" s="8"/>
    </row>
    <row r="73" ht="15.75" customHeight="1">
      <c r="A73" s="7">
        <v>72.0</v>
      </c>
      <c r="B73" s="8" t="s">
        <v>1322</v>
      </c>
      <c r="C73" s="9" t="s">
        <v>1323</v>
      </c>
      <c r="D73" s="8" t="s">
        <v>137</v>
      </c>
      <c r="E73" s="8" t="s">
        <v>285</v>
      </c>
      <c r="F73" s="10">
        <v>35.0</v>
      </c>
      <c r="G73" s="10">
        <f t="shared" si="1"/>
        <v>420</v>
      </c>
      <c r="H73" s="8" t="s">
        <v>548</v>
      </c>
      <c r="I73" s="8" t="s">
        <v>1324</v>
      </c>
      <c r="J73" s="8" t="s">
        <v>141</v>
      </c>
      <c r="K73" s="8" t="s">
        <v>1325</v>
      </c>
      <c r="L73" s="8"/>
      <c r="M73" s="8" t="s">
        <v>144</v>
      </c>
      <c r="N73" s="8" t="s">
        <v>145</v>
      </c>
      <c r="O73" s="8" t="s">
        <v>141</v>
      </c>
      <c r="P73" s="11">
        <v>0.4</v>
      </c>
      <c r="Q73" s="8" t="s">
        <v>1327</v>
      </c>
      <c r="R73" s="8" t="s">
        <v>172</v>
      </c>
      <c r="S73" s="8" t="s">
        <v>474</v>
      </c>
      <c r="T73" s="8" t="s">
        <v>477</v>
      </c>
      <c r="U73" s="8" t="s">
        <v>474</v>
      </c>
      <c r="V73" s="8" t="s">
        <v>151</v>
      </c>
      <c r="W73" s="8"/>
      <c r="X73" s="8" t="s">
        <v>289</v>
      </c>
      <c r="Y73" s="8" t="s">
        <v>249</v>
      </c>
      <c r="Z73" s="8" t="s">
        <v>1330</v>
      </c>
      <c r="AA73" s="8" t="s">
        <v>195</v>
      </c>
      <c r="AB73" s="8"/>
      <c r="AC73" s="8" t="s">
        <v>1331</v>
      </c>
      <c r="AD73" s="8" t="s">
        <v>252</v>
      </c>
      <c r="AE73" s="8" t="s">
        <v>181</v>
      </c>
      <c r="AF73" s="8" t="s">
        <v>253</v>
      </c>
      <c r="AG73" s="8" t="s">
        <v>182</v>
      </c>
      <c r="AH73" s="8" t="s">
        <v>736</v>
      </c>
      <c r="AI73" s="8"/>
      <c r="AJ73" s="8" t="s">
        <v>1334</v>
      </c>
      <c r="AK73" s="8" t="s">
        <v>164</v>
      </c>
      <c r="AL73" s="8"/>
    </row>
    <row r="74" ht="15.75" customHeight="1">
      <c r="A74" s="7">
        <v>73.0</v>
      </c>
      <c r="B74" s="8" t="s">
        <v>1337</v>
      </c>
      <c r="C74" s="9" t="s">
        <v>1338</v>
      </c>
      <c r="D74" s="8" t="s">
        <v>137</v>
      </c>
      <c r="E74" s="8" t="s">
        <v>138</v>
      </c>
      <c r="F74" s="10">
        <v>60.0</v>
      </c>
      <c r="G74" s="10">
        <f t="shared" si="1"/>
        <v>720</v>
      </c>
      <c r="H74" s="8" t="s">
        <v>548</v>
      </c>
      <c r="I74" s="8" t="s">
        <v>1339</v>
      </c>
      <c r="J74" s="8" t="s">
        <v>164</v>
      </c>
      <c r="K74" s="8"/>
      <c r="L74" s="8"/>
      <c r="M74" s="8" t="s">
        <v>144</v>
      </c>
      <c r="N74" s="8" t="s">
        <v>170</v>
      </c>
      <c r="O74" s="8" t="s">
        <v>164</v>
      </c>
      <c r="P74" s="11"/>
      <c r="Q74" s="8"/>
      <c r="R74" s="8" t="s">
        <v>172</v>
      </c>
      <c r="S74" s="8" t="s">
        <v>474</v>
      </c>
      <c r="T74" s="8" t="s">
        <v>477</v>
      </c>
      <c r="U74" s="8" t="s">
        <v>474</v>
      </c>
      <c r="V74" s="8" t="s">
        <v>164</v>
      </c>
      <c r="W74" s="8"/>
      <c r="X74" s="8" t="s">
        <v>289</v>
      </c>
      <c r="Y74" s="8" t="s">
        <v>193</v>
      </c>
      <c r="Z74" s="8" t="s">
        <v>1340</v>
      </c>
      <c r="AA74" s="8" t="s">
        <v>195</v>
      </c>
      <c r="AB74" s="8"/>
      <c r="AC74" s="8" t="s">
        <v>1341</v>
      </c>
      <c r="AD74" s="8" t="s">
        <v>180</v>
      </c>
      <c r="AE74" s="8" t="s">
        <v>181</v>
      </c>
      <c r="AF74" s="8" t="s">
        <v>182</v>
      </c>
      <c r="AG74" s="8" t="s">
        <v>182</v>
      </c>
      <c r="AH74" s="8"/>
      <c r="AI74" s="8"/>
      <c r="AJ74" s="8" t="s">
        <v>1342</v>
      </c>
      <c r="AK74" s="8" t="s">
        <v>164</v>
      </c>
      <c r="AL74" s="8"/>
    </row>
    <row r="75" ht="15.75" customHeight="1">
      <c r="A75" s="7">
        <v>74.0</v>
      </c>
      <c r="B75" s="8" t="s">
        <v>1343</v>
      </c>
      <c r="C75" s="9" t="s">
        <v>1344</v>
      </c>
      <c r="D75" s="8" t="s">
        <v>137</v>
      </c>
      <c r="E75" s="8" t="s">
        <v>138</v>
      </c>
      <c r="F75" s="10">
        <v>20.0</v>
      </c>
      <c r="G75" s="10">
        <f t="shared" si="1"/>
        <v>240</v>
      </c>
      <c r="H75" s="8" t="s">
        <v>1345</v>
      </c>
      <c r="I75" s="8" t="s">
        <v>1346</v>
      </c>
      <c r="J75" s="8" t="s">
        <v>164</v>
      </c>
      <c r="K75" s="8"/>
      <c r="L75" s="8"/>
      <c r="M75" s="8" t="s">
        <v>261</v>
      </c>
      <c r="N75" s="8" t="s">
        <v>170</v>
      </c>
      <c r="O75" s="8" t="s">
        <v>164</v>
      </c>
      <c r="P75" s="11"/>
      <c r="Q75" s="8"/>
      <c r="R75" s="8" t="s">
        <v>172</v>
      </c>
      <c r="S75" s="8" t="s">
        <v>586</v>
      </c>
      <c r="T75" s="8" t="s">
        <v>39</v>
      </c>
      <c r="U75" s="8" t="s">
        <v>586</v>
      </c>
      <c r="V75" s="8" t="s">
        <v>164</v>
      </c>
      <c r="W75" s="8"/>
      <c r="X75" s="8" t="s">
        <v>289</v>
      </c>
      <c r="Y75" s="8" t="s">
        <v>154</v>
      </c>
      <c r="Z75" s="8" t="s">
        <v>1347</v>
      </c>
      <c r="AA75" s="8" t="s">
        <v>141</v>
      </c>
      <c r="AB75" s="8"/>
      <c r="AC75" s="8" t="s">
        <v>1348</v>
      </c>
      <c r="AD75" s="8" t="s">
        <v>180</v>
      </c>
      <c r="AE75" s="8" t="s">
        <v>181</v>
      </c>
      <c r="AF75" s="8" t="s">
        <v>182</v>
      </c>
      <c r="AG75" s="8" t="s">
        <v>182</v>
      </c>
      <c r="AH75" s="8"/>
      <c r="AI75" s="8"/>
      <c r="AJ75" s="8" t="s">
        <v>1349</v>
      </c>
      <c r="AK75" s="8" t="s">
        <v>164</v>
      </c>
      <c r="AL75" s="8"/>
    </row>
    <row r="76" ht="15.75" customHeight="1">
      <c r="A76" s="7">
        <v>75.0</v>
      </c>
      <c r="B76" s="8" t="s">
        <v>1350</v>
      </c>
      <c r="C76" s="9" t="s">
        <v>1351</v>
      </c>
      <c r="D76" s="8" t="s">
        <v>137</v>
      </c>
      <c r="E76" s="8" t="s">
        <v>138</v>
      </c>
      <c r="F76" s="10">
        <v>15.0</v>
      </c>
      <c r="G76" s="10">
        <f t="shared" si="1"/>
        <v>180</v>
      </c>
      <c r="H76" s="8" t="s">
        <v>1352</v>
      </c>
      <c r="I76" s="8" t="s">
        <v>1353</v>
      </c>
      <c r="J76" s="8" t="s">
        <v>164</v>
      </c>
      <c r="K76" s="8"/>
      <c r="L76" s="8"/>
      <c r="M76" s="8" t="s">
        <v>261</v>
      </c>
      <c r="N76" s="8" t="s">
        <v>170</v>
      </c>
      <c r="O76" s="8" t="s">
        <v>164</v>
      </c>
      <c r="P76" s="11"/>
      <c r="Q76" s="8"/>
      <c r="R76" s="8" t="s">
        <v>172</v>
      </c>
      <c r="S76" s="8" t="s">
        <v>474</v>
      </c>
      <c r="T76" s="8" t="s">
        <v>477</v>
      </c>
      <c r="U76" s="8" t="s">
        <v>474</v>
      </c>
      <c r="V76" s="8" t="s">
        <v>164</v>
      </c>
      <c r="W76" s="8"/>
      <c r="X76" s="8" t="s">
        <v>289</v>
      </c>
      <c r="Y76" s="8" t="s">
        <v>193</v>
      </c>
      <c r="Z76" s="8" t="s">
        <v>1354</v>
      </c>
      <c r="AA76" s="8" t="s">
        <v>195</v>
      </c>
      <c r="AB76" s="8"/>
      <c r="AC76" s="8" t="s">
        <v>1062</v>
      </c>
      <c r="AD76" s="8" t="s">
        <v>252</v>
      </c>
      <c r="AE76" s="8" t="s">
        <v>181</v>
      </c>
      <c r="AF76" s="8" t="s">
        <v>253</v>
      </c>
      <c r="AG76" s="8" t="s">
        <v>182</v>
      </c>
      <c r="AH76" s="8" t="s">
        <v>486</v>
      </c>
      <c r="AI76" s="8" t="s">
        <v>1355</v>
      </c>
      <c r="AJ76" s="8" t="s">
        <v>1356</v>
      </c>
      <c r="AK76" s="8" t="s">
        <v>164</v>
      </c>
      <c r="AL76" s="8"/>
    </row>
    <row r="77" ht="15.75" customHeight="1">
      <c r="A77" s="7">
        <v>76.0</v>
      </c>
      <c r="B77" s="8" t="s">
        <v>1357</v>
      </c>
      <c r="C77" s="9" t="s">
        <v>1358</v>
      </c>
      <c r="D77" s="8" t="s">
        <v>137</v>
      </c>
      <c r="E77" s="8" t="s">
        <v>138</v>
      </c>
      <c r="F77" s="10">
        <v>8.0</v>
      </c>
      <c r="G77" s="10">
        <f t="shared" si="1"/>
        <v>96</v>
      </c>
      <c r="H77" s="8" t="s">
        <v>921</v>
      </c>
      <c r="I77" s="8" t="s">
        <v>1359</v>
      </c>
      <c r="J77" s="8" t="s">
        <v>164</v>
      </c>
      <c r="K77" s="8"/>
      <c r="L77" s="8"/>
      <c r="M77" s="8" t="s">
        <v>261</v>
      </c>
      <c r="N77" s="8" t="s">
        <v>170</v>
      </c>
      <c r="O77" s="8" t="s">
        <v>164</v>
      </c>
      <c r="P77" s="11"/>
      <c r="Q77" s="8"/>
      <c r="R77" s="8" t="s">
        <v>172</v>
      </c>
      <c r="S77" s="8" t="s">
        <v>474</v>
      </c>
      <c r="T77" s="8" t="s">
        <v>477</v>
      </c>
      <c r="U77" s="8" t="s">
        <v>474</v>
      </c>
      <c r="V77" s="8" t="s">
        <v>164</v>
      </c>
      <c r="W77" s="8"/>
      <c r="X77" s="8" t="s">
        <v>289</v>
      </c>
      <c r="Y77" s="8" t="s">
        <v>154</v>
      </c>
      <c r="Z77" s="8" t="s">
        <v>1360</v>
      </c>
      <c r="AA77" s="8" t="s">
        <v>141</v>
      </c>
      <c r="AB77" s="8"/>
      <c r="AC77" s="8" t="s">
        <v>1361</v>
      </c>
      <c r="AD77" s="8" t="s">
        <v>180</v>
      </c>
      <c r="AE77" s="8" t="s">
        <v>181</v>
      </c>
      <c r="AF77" s="8" t="s">
        <v>182</v>
      </c>
      <c r="AG77" s="8" t="s">
        <v>182</v>
      </c>
      <c r="AH77" s="8"/>
      <c r="AI77" s="8"/>
      <c r="AJ77" s="8" t="s">
        <v>1362</v>
      </c>
      <c r="AK77" s="8" t="s">
        <v>164</v>
      </c>
      <c r="AL77" s="8"/>
    </row>
    <row r="78" ht="15.75" customHeight="1">
      <c r="A78" s="7">
        <v>77.0</v>
      </c>
      <c r="B78" s="8" t="s">
        <v>1363</v>
      </c>
      <c r="C78" s="9" t="s">
        <v>1364</v>
      </c>
      <c r="D78" s="8" t="s">
        <v>137</v>
      </c>
      <c r="E78" s="8" t="s">
        <v>138</v>
      </c>
      <c r="F78" s="10">
        <v>12.0</v>
      </c>
      <c r="G78" s="10">
        <f t="shared" si="1"/>
        <v>144</v>
      </c>
      <c r="H78" s="8" t="s">
        <v>1365</v>
      </c>
      <c r="I78" s="8" t="s">
        <v>1366</v>
      </c>
      <c r="J78" s="8" t="s">
        <v>164</v>
      </c>
      <c r="K78" s="8"/>
      <c r="L78" s="8"/>
      <c r="M78" s="8" t="s">
        <v>261</v>
      </c>
      <c r="N78" s="8" t="s">
        <v>170</v>
      </c>
      <c r="O78" s="8" t="s">
        <v>164</v>
      </c>
      <c r="P78" s="11"/>
      <c r="Q78" s="8"/>
      <c r="R78" s="8" t="s">
        <v>172</v>
      </c>
      <c r="S78" s="8" t="s">
        <v>173</v>
      </c>
      <c r="T78" s="8" t="s">
        <v>174</v>
      </c>
      <c r="U78" s="8" t="s">
        <v>173</v>
      </c>
      <c r="V78" s="8" t="s">
        <v>164</v>
      </c>
      <c r="W78" s="8"/>
      <c r="X78" s="8" t="s">
        <v>289</v>
      </c>
      <c r="Y78" s="8" t="s">
        <v>176</v>
      </c>
      <c r="Z78" s="8" t="s">
        <v>1367</v>
      </c>
      <c r="AA78" s="8" t="s">
        <v>195</v>
      </c>
      <c r="AB78" s="8" t="s">
        <v>518</v>
      </c>
      <c r="AC78" s="8" t="s">
        <v>415</v>
      </c>
      <c r="AD78" s="8" t="s">
        <v>180</v>
      </c>
      <c r="AE78" s="8" t="s">
        <v>181</v>
      </c>
      <c r="AF78" s="8" t="s">
        <v>182</v>
      </c>
      <c r="AG78" s="8" t="s">
        <v>182</v>
      </c>
      <c r="AH78" s="8"/>
      <c r="AI78" s="8"/>
      <c r="AJ78" s="8" t="s">
        <v>1368</v>
      </c>
      <c r="AK78" s="8" t="s">
        <v>141</v>
      </c>
      <c r="AL78" s="8" t="s">
        <v>1369</v>
      </c>
    </row>
    <row r="79" ht="15.75" customHeight="1">
      <c r="A79" s="7">
        <v>78.0</v>
      </c>
      <c r="B79" s="8" t="s">
        <v>1370</v>
      </c>
      <c r="C79" s="9" t="s">
        <v>378</v>
      </c>
      <c r="D79" s="8" t="s">
        <v>1371</v>
      </c>
      <c r="E79" s="8" t="s">
        <v>1372</v>
      </c>
      <c r="F79" s="10">
        <v>0.0</v>
      </c>
      <c r="G79" s="10">
        <f t="shared" si="1"/>
        <v>0</v>
      </c>
      <c r="H79" s="8" t="s">
        <v>1373</v>
      </c>
      <c r="I79" s="8" t="s">
        <v>1374</v>
      </c>
      <c r="J79" s="8" t="s">
        <v>141</v>
      </c>
      <c r="K79" s="8" t="s">
        <v>380</v>
      </c>
      <c r="L79" s="8" t="s">
        <v>1225</v>
      </c>
      <c r="M79" s="8" t="s">
        <v>144</v>
      </c>
      <c r="N79" s="8" t="s">
        <v>145</v>
      </c>
      <c r="O79" s="8" t="s">
        <v>141</v>
      </c>
      <c r="P79" s="11">
        <v>1.0</v>
      </c>
      <c r="Q79" s="8" t="s">
        <v>383</v>
      </c>
      <c r="R79" s="8" t="s">
        <v>207</v>
      </c>
      <c r="S79" s="8" t="s">
        <v>148</v>
      </c>
      <c r="T79" s="8" t="s">
        <v>149</v>
      </c>
      <c r="U79" s="8" t="s">
        <v>148</v>
      </c>
      <c r="V79" s="8" t="s">
        <v>151</v>
      </c>
      <c r="W79" s="8" t="s">
        <v>152</v>
      </c>
      <c r="X79" s="8" t="s">
        <v>289</v>
      </c>
      <c r="Y79" s="8" t="s">
        <v>589</v>
      </c>
      <c r="Z79" s="8" t="s">
        <v>1375</v>
      </c>
      <c r="AA79" s="8" t="s">
        <v>141</v>
      </c>
      <c r="AB79" s="8"/>
      <c r="AC79" s="8" t="s">
        <v>1376</v>
      </c>
      <c r="AD79" s="8" t="s">
        <v>1302</v>
      </c>
      <c r="AE79" s="8" t="s">
        <v>1304</v>
      </c>
      <c r="AF79" s="8" t="s">
        <v>1377</v>
      </c>
      <c r="AG79" s="8" t="s">
        <v>1378</v>
      </c>
      <c r="AH79" s="8" t="s">
        <v>736</v>
      </c>
      <c r="AI79" s="8"/>
      <c r="AJ79" s="8" t="s">
        <v>1379</v>
      </c>
      <c r="AK79" s="8" t="s">
        <v>141</v>
      </c>
      <c r="AL79" s="8" t="s">
        <v>1380</v>
      </c>
    </row>
    <row r="80" ht="15.75" customHeight="1">
      <c r="A80" s="7">
        <v>79.0</v>
      </c>
      <c r="B80" s="8" t="s">
        <v>1381</v>
      </c>
      <c r="C80" s="9" t="s">
        <v>593</v>
      </c>
      <c r="D80" s="8" t="s">
        <v>1371</v>
      </c>
      <c r="E80" s="8" t="s">
        <v>1372</v>
      </c>
      <c r="F80" s="10">
        <v>0.0</v>
      </c>
      <c r="G80" s="10">
        <f t="shared" si="1"/>
        <v>0</v>
      </c>
      <c r="H80" s="8"/>
      <c r="I80" s="8" t="s">
        <v>504</v>
      </c>
      <c r="J80" s="8" t="s">
        <v>141</v>
      </c>
      <c r="K80" s="8" t="s">
        <v>1382</v>
      </c>
      <c r="L80" s="8"/>
      <c r="M80" s="8" t="s">
        <v>144</v>
      </c>
      <c r="N80" s="8" t="s">
        <v>145</v>
      </c>
      <c r="O80" s="8" t="s">
        <v>141</v>
      </c>
      <c r="P80" s="11">
        <v>0.4</v>
      </c>
      <c r="Q80" s="8" t="s">
        <v>595</v>
      </c>
      <c r="R80" s="8" t="s">
        <v>147</v>
      </c>
      <c r="S80" s="8" t="s">
        <v>148</v>
      </c>
      <c r="T80" s="8" t="s">
        <v>149</v>
      </c>
      <c r="U80" s="8" t="s">
        <v>150</v>
      </c>
      <c r="V80" s="8" t="s">
        <v>151</v>
      </c>
      <c r="W80" s="8" t="s">
        <v>152</v>
      </c>
      <c r="X80" s="8" t="s">
        <v>289</v>
      </c>
      <c r="Y80" s="8" t="s">
        <v>154</v>
      </c>
      <c r="Z80" s="8" t="s">
        <v>1383</v>
      </c>
      <c r="AA80" s="8" t="s">
        <v>141</v>
      </c>
      <c r="AB80" s="8"/>
      <c r="AC80" s="8" t="s">
        <v>1384</v>
      </c>
      <c r="AD80" s="8" t="s">
        <v>750</v>
      </c>
      <c r="AE80" s="8" t="s">
        <v>751</v>
      </c>
      <c r="AF80" s="8" t="s">
        <v>1385</v>
      </c>
      <c r="AG80" s="8" t="s">
        <v>1386</v>
      </c>
      <c r="AH80" s="8" t="s">
        <v>736</v>
      </c>
      <c r="AI80" s="8"/>
      <c r="AJ80" s="8" t="s">
        <v>1387</v>
      </c>
      <c r="AK80" s="8" t="s">
        <v>164</v>
      </c>
      <c r="AL80" s="8"/>
    </row>
    <row r="81" ht="15.75" customHeight="1">
      <c r="A81" s="7">
        <v>80.0</v>
      </c>
      <c r="B81" s="8" t="s">
        <v>1388</v>
      </c>
      <c r="C81" s="9" t="s">
        <v>506</v>
      </c>
      <c r="D81" s="8" t="s">
        <v>137</v>
      </c>
      <c r="E81" s="8" t="s">
        <v>285</v>
      </c>
      <c r="F81" s="10">
        <v>60.0</v>
      </c>
      <c r="G81" s="10">
        <f t="shared" si="1"/>
        <v>720</v>
      </c>
      <c r="H81" s="8" t="s">
        <v>1389</v>
      </c>
      <c r="I81" s="8" t="s">
        <v>504</v>
      </c>
      <c r="J81" s="8" t="s">
        <v>141</v>
      </c>
      <c r="K81" s="8" t="s">
        <v>1390</v>
      </c>
      <c r="L81" s="8" t="s">
        <v>1225</v>
      </c>
      <c r="M81" s="8" t="s">
        <v>144</v>
      </c>
      <c r="N81" s="8" t="s">
        <v>145</v>
      </c>
      <c r="O81" s="8" t="s">
        <v>141</v>
      </c>
      <c r="P81" s="11">
        <v>0.7</v>
      </c>
      <c r="Q81" s="8" t="s">
        <v>508</v>
      </c>
      <c r="R81" s="8" t="s">
        <v>147</v>
      </c>
      <c r="S81" s="8" t="s">
        <v>148</v>
      </c>
      <c r="T81" s="8" t="s">
        <v>149</v>
      </c>
      <c r="U81" s="8" t="s">
        <v>150</v>
      </c>
      <c r="V81" s="8" t="s">
        <v>151</v>
      </c>
      <c r="W81" s="8" t="s">
        <v>333</v>
      </c>
      <c r="X81" s="8" t="s">
        <v>289</v>
      </c>
      <c r="Y81" s="8" t="s">
        <v>154</v>
      </c>
      <c r="Z81" s="8" t="s">
        <v>1391</v>
      </c>
      <c r="AA81" s="8" t="s">
        <v>141</v>
      </c>
      <c r="AB81" s="8"/>
      <c r="AC81" s="8" t="s">
        <v>280</v>
      </c>
      <c r="AD81" s="8" t="s">
        <v>1302</v>
      </c>
      <c r="AE81" s="8" t="s">
        <v>1304</v>
      </c>
      <c r="AF81" s="8" t="s">
        <v>1392</v>
      </c>
      <c r="AG81" s="8" t="s">
        <v>1393</v>
      </c>
      <c r="AH81" s="8" t="s">
        <v>736</v>
      </c>
      <c r="AI81" s="8"/>
      <c r="AJ81" s="8" t="s">
        <v>1394</v>
      </c>
      <c r="AK81" s="8" t="s">
        <v>164</v>
      </c>
      <c r="AL81" s="8"/>
    </row>
    <row r="82" ht="15.75" customHeight="1">
      <c r="A82" s="7">
        <v>81.0</v>
      </c>
      <c r="B82" s="8" t="s">
        <v>1395</v>
      </c>
      <c r="C82" s="9" t="s">
        <v>385</v>
      </c>
      <c r="D82" s="8" t="s">
        <v>1371</v>
      </c>
      <c r="E82" s="8" t="s">
        <v>1372</v>
      </c>
      <c r="F82" s="10">
        <v>0.0</v>
      </c>
      <c r="G82" s="10">
        <f t="shared" si="1"/>
        <v>0</v>
      </c>
      <c r="H82" s="8"/>
      <c r="I82" s="8" t="s">
        <v>246</v>
      </c>
      <c r="J82" s="8" t="s">
        <v>141</v>
      </c>
      <c r="K82" s="8" t="s">
        <v>387</v>
      </c>
      <c r="L82" s="8" t="s">
        <v>1396</v>
      </c>
      <c r="M82" s="8" t="s">
        <v>144</v>
      </c>
      <c r="N82" s="8" t="s">
        <v>145</v>
      </c>
      <c r="O82" s="8" t="s">
        <v>141</v>
      </c>
      <c r="P82" s="11">
        <v>1.0</v>
      </c>
      <c r="Q82" s="8" t="s">
        <v>388</v>
      </c>
      <c r="R82" s="8" t="s">
        <v>207</v>
      </c>
      <c r="S82" s="8" t="s">
        <v>148</v>
      </c>
      <c r="T82" s="8" t="s">
        <v>149</v>
      </c>
      <c r="U82" s="8" t="s">
        <v>148</v>
      </c>
      <c r="V82" s="8" t="s">
        <v>151</v>
      </c>
      <c r="W82" s="8" t="s">
        <v>152</v>
      </c>
      <c r="X82" s="8" t="s">
        <v>289</v>
      </c>
      <c r="Y82" s="8" t="s">
        <v>589</v>
      </c>
      <c r="Z82" s="8" t="s">
        <v>1397</v>
      </c>
      <c r="AA82" s="8" t="s">
        <v>141</v>
      </c>
      <c r="AB82" s="8"/>
      <c r="AC82" s="8" t="s">
        <v>280</v>
      </c>
      <c r="AD82" s="8" t="s">
        <v>180</v>
      </c>
      <c r="AE82" s="8" t="s">
        <v>181</v>
      </c>
      <c r="AF82" s="8" t="s">
        <v>182</v>
      </c>
      <c r="AG82" s="8" t="s">
        <v>1398</v>
      </c>
      <c r="AH82" s="8"/>
      <c r="AI82" s="8"/>
      <c r="AJ82" s="8" t="s">
        <v>1399</v>
      </c>
      <c r="AK82" s="8" t="s">
        <v>164</v>
      </c>
      <c r="AL82" s="8"/>
    </row>
    <row r="83" ht="15.75" customHeight="1">
      <c r="A83" s="7">
        <v>82.0</v>
      </c>
      <c r="B83" s="8" t="s">
        <v>1400</v>
      </c>
      <c r="C83" s="9" t="s">
        <v>597</v>
      </c>
      <c r="D83" s="8" t="s">
        <v>1371</v>
      </c>
      <c r="E83" s="8" t="s">
        <v>1372</v>
      </c>
      <c r="F83" s="10">
        <v>0.0</v>
      </c>
      <c r="G83" s="10">
        <f t="shared" si="1"/>
        <v>0</v>
      </c>
      <c r="H83" s="8"/>
      <c r="I83" s="8" t="s">
        <v>1401</v>
      </c>
      <c r="J83" s="8" t="s">
        <v>141</v>
      </c>
      <c r="K83" s="8" t="s">
        <v>169</v>
      </c>
      <c r="L83" s="8"/>
      <c r="M83" s="8" t="s">
        <v>144</v>
      </c>
      <c r="N83" s="8" t="s">
        <v>145</v>
      </c>
      <c r="O83" s="8" t="s">
        <v>141</v>
      </c>
      <c r="P83" s="11">
        <v>0.4</v>
      </c>
      <c r="Q83" s="8" t="s">
        <v>600</v>
      </c>
      <c r="R83" s="8" t="s">
        <v>147</v>
      </c>
      <c r="S83" s="8" t="s">
        <v>148</v>
      </c>
      <c r="T83" s="8" t="s">
        <v>149</v>
      </c>
      <c r="U83" s="8" t="s">
        <v>150</v>
      </c>
      <c r="V83" s="8" t="s">
        <v>151</v>
      </c>
      <c r="W83" s="8" t="s">
        <v>152</v>
      </c>
      <c r="X83" s="8" t="s">
        <v>289</v>
      </c>
      <c r="Y83" s="8" t="s">
        <v>154</v>
      </c>
      <c r="Z83" s="8" t="s">
        <v>1402</v>
      </c>
      <c r="AA83" s="8" t="s">
        <v>141</v>
      </c>
      <c r="AB83" s="8"/>
      <c r="AC83" s="8" t="s">
        <v>1403</v>
      </c>
      <c r="AD83" s="8" t="s">
        <v>1302</v>
      </c>
      <c r="AE83" s="8" t="s">
        <v>1304</v>
      </c>
      <c r="AF83" s="8" t="s">
        <v>1404</v>
      </c>
      <c r="AG83" s="8" t="s">
        <v>1405</v>
      </c>
      <c r="AH83" s="8" t="s">
        <v>736</v>
      </c>
      <c r="AI83" s="8"/>
      <c r="AJ83" s="8" t="s">
        <v>1406</v>
      </c>
      <c r="AK83" s="8" t="s">
        <v>164</v>
      </c>
      <c r="AL83" s="8"/>
    </row>
    <row r="84" ht="15.75" customHeight="1">
      <c r="A84" s="7">
        <v>83.0</v>
      </c>
      <c r="B84" s="8" t="s">
        <v>1407</v>
      </c>
      <c r="C84" s="9" t="s">
        <v>370</v>
      </c>
      <c r="D84" s="8" t="s">
        <v>1371</v>
      </c>
      <c r="E84" s="8" t="s">
        <v>285</v>
      </c>
      <c r="F84" s="10">
        <v>80.0</v>
      </c>
      <c r="G84" s="10">
        <f t="shared" si="1"/>
        <v>960</v>
      </c>
      <c r="H84" s="8" t="s">
        <v>1408</v>
      </c>
      <c r="I84" s="8" t="s">
        <v>1409</v>
      </c>
      <c r="J84" s="8" t="s">
        <v>141</v>
      </c>
      <c r="K84" s="8" t="s">
        <v>373</v>
      </c>
      <c r="L84" s="8" t="s">
        <v>1225</v>
      </c>
      <c r="M84" s="8" t="s">
        <v>144</v>
      </c>
      <c r="N84" s="8" t="s">
        <v>145</v>
      </c>
      <c r="O84" s="8" t="s">
        <v>141</v>
      </c>
      <c r="P84" s="11">
        <v>1.5</v>
      </c>
      <c r="Q84" s="8" t="s">
        <v>376</v>
      </c>
      <c r="R84" s="8" t="s">
        <v>372</v>
      </c>
      <c r="S84" s="8" t="s">
        <v>148</v>
      </c>
      <c r="T84" s="8" t="s">
        <v>149</v>
      </c>
      <c r="U84" s="8" t="s">
        <v>148</v>
      </c>
      <c r="V84" s="8" t="s">
        <v>375</v>
      </c>
      <c r="W84" s="8" t="s">
        <v>333</v>
      </c>
      <c r="X84" s="8" t="s">
        <v>289</v>
      </c>
      <c r="Y84" s="8" t="s">
        <v>589</v>
      </c>
      <c r="Z84" s="8" t="s">
        <v>1410</v>
      </c>
      <c r="AA84" s="8" t="s">
        <v>141</v>
      </c>
      <c r="AB84" s="8"/>
      <c r="AC84" s="8" t="s">
        <v>1411</v>
      </c>
      <c r="AD84" s="8" t="s">
        <v>336</v>
      </c>
      <c r="AE84" s="8" t="s">
        <v>337</v>
      </c>
      <c r="AF84" s="8" t="s">
        <v>1412</v>
      </c>
      <c r="AG84" s="8" t="s">
        <v>1413</v>
      </c>
      <c r="AH84" s="8"/>
      <c r="AI84" s="8" t="s">
        <v>1414</v>
      </c>
      <c r="AJ84" s="8" t="s">
        <v>1415</v>
      </c>
      <c r="AK84" s="8" t="s">
        <v>141</v>
      </c>
      <c r="AL84" s="8" t="s">
        <v>1416</v>
      </c>
    </row>
    <row r="85" ht="15.75" customHeight="1">
      <c r="A85" s="7">
        <v>84.0</v>
      </c>
      <c r="B85" s="8" t="s">
        <v>1417</v>
      </c>
      <c r="C85" s="9" t="s">
        <v>545</v>
      </c>
      <c r="D85" s="8" t="s">
        <v>1371</v>
      </c>
      <c r="E85" s="8" t="s">
        <v>1372</v>
      </c>
      <c r="F85" s="10">
        <v>0.0</v>
      </c>
      <c r="G85" s="10">
        <f t="shared" si="1"/>
        <v>0</v>
      </c>
      <c r="H85" s="8"/>
      <c r="I85" s="8" t="s">
        <v>1418</v>
      </c>
      <c r="J85" s="8" t="s">
        <v>141</v>
      </c>
      <c r="K85" s="8" t="s">
        <v>1419</v>
      </c>
      <c r="L85" s="8" t="s">
        <v>1225</v>
      </c>
      <c r="M85" s="8" t="s">
        <v>144</v>
      </c>
      <c r="N85" s="8" t="s">
        <v>145</v>
      </c>
      <c r="O85" s="8" t="s">
        <v>141</v>
      </c>
      <c r="P85" s="11">
        <v>0.5</v>
      </c>
      <c r="Q85" s="8" t="s">
        <v>547</v>
      </c>
      <c r="R85" s="8" t="s">
        <v>147</v>
      </c>
      <c r="S85" s="8" t="s">
        <v>148</v>
      </c>
      <c r="T85" s="8" t="s">
        <v>149</v>
      </c>
      <c r="U85" s="8" t="s">
        <v>150</v>
      </c>
      <c r="V85" s="8" t="s">
        <v>151</v>
      </c>
      <c r="W85" s="8" t="s">
        <v>152</v>
      </c>
      <c r="X85" s="8" t="s">
        <v>289</v>
      </c>
      <c r="Y85" s="8" t="s">
        <v>154</v>
      </c>
      <c r="Z85" s="8" t="s">
        <v>1420</v>
      </c>
      <c r="AA85" s="8" t="s">
        <v>141</v>
      </c>
      <c r="AB85" s="8"/>
      <c r="AC85" s="8" t="s">
        <v>280</v>
      </c>
      <c r="AD85" s="8" t="s">
        <v>1302</v>
      </c>
      <c r="AE85" s="8" t="s">
        <v>1304</v>
      </c>
      <c r="AF85" s="8" t="s">
        <v>1421</v>
      </c>
      <c r="AG85" s="8" t="s">
        <v>1422</v>
      </c>
      <c r="AH85" s="8"/>
      <c r="AI85" s="8"/>
      <c r="AJ85" s="8" t="s">
        <v>1424</v>
      </c>
      <c r="AK85" s="8" t="s">
        <v>164</v>
      </c>
      <c r="AL85" s="8"/>
    </row>
    <row r="86" ht="15.75" customHeight="1">
      <c r="A86" s="7">
        <v>85.0</v>
      </c>
      <c r="B86" s="8" t="s">
        <v>1426</v>
      </c>
      <c r="C86" s="9" t="s">
        <v>601</v>
      </c>
      <c r="D86" s="8" t="s">
        <v>1371</v>
      </c>
      <c r="E86" s="8" t="s">
        <v>1372</v>
      </c>
      <c r="F86" s="10">
        <v>0.0</v>
      </c>
      <c r="G86" s="10">
        <f t="shared" si="1"/>
        <v>0</v>
      </c>
      <c r="H86" s="8"/>
      <c r="I86" s="8" t="s">
        <v>246</v>
      </c>
      <c r="J86" s="8" t="s">
        <v>141</v>
      </c>
      <c r="K86" s="8" t="s">
        <v>169</v>
      </c>
      <c r="L86" s="8" t="s">
        <v>1430</v>
      </c>
      <c r="M86" s="8" t="s">
        <v>144</v>
      </c>
      <c r="N86" s="8" t="s">
        <v>145</v>
      </c>
      <c r="O86" s="8" t="s">
        <v>141</v>
      </c>
      <c r="P86" s="11">
        <v>0.4</v>
      </c>
      <c r="Q86" s="8" t="s">
        <v>602</v>
      </c>
      <c r="R86" s="8" t="s">
        <v>147</v>
      </c>
      <c r="S86" s="8" t="s">
        <v>148</v>
      </c>
      <c r="T86" s="8" t="s">
        <v>149</v>
      </c>
      <c r="U86" s="8" t="s">
        <v>150</v>
      </c>
      <c r="V86" s="8" t="s">
        <v>151</v>
      </c>
      <c r="W86" s="8" t="s">
        <v>152</v>
      </c>
      <c r="X86" s="8" t="s">
        <v>289</v>
      </c>
      <c r="Y86" s="8" t="s">
        <v>193</v>
      </c>
      <c r="Z86" s="8" t="s">
        <v>1435</v>
      </c>
      <c r="AA86" s="8" t="s">
        <v>141</v>
      </c>
      <c r="AB86" s="8"/>
      <c r="AC86" s="8" t="s">
        <v>280</v>
      </c>
      <c r="AD86" s="8" t="s">
        <v>180</v>
      </c>
      <c r="AE86" s="8" t="s">
        <v>181</v>
      </c>
      <c r="AF86" s="8" t="s">
        <v>182</v>
      </c>
      <c r="AG86" s="8" t="s">
        <v>182</v>
      </c>
      <c r="AH86" s="8"/>
      <c r="AI86" s="8"/>
      <c r="AJ86" s="8" t="s">
        <v>1438</v>
      </c>
      <c r="AK86" s="8" t="s">
        <v>164</v>
      </c>
      <c r="AL86" s="8"/>
    </row>
    <row r="87" ht="15.75" customHeight="1">
      <c r="A87" s="7">
        <v>86.0</v>
      </c>
      <c r="B87" s="8" t="s">
        <v>1441</v>
      </c>
      <c r="C87" s="9" t="s">
        <v>640</v>
      </c>
      <c r="D87" s="8" t="s">
        <v>1371</v>
      </c>
      <c r="E87" s="8" t="s">
        <v>1372</v>
      </c>
      <c r="F87" s="10">
        <v>0.0</v>
      </c>
      <c r="G87" s="10">
        <f t="shared" si="1"/>
        <v>0</v>
      </c>
      <c r="H87" s="8"/>
      <c r="I87" s="8"/>
      <c r="J87" s="8" t="s">
        <v>141</v>
      </c>
      <c r="K87" s="8" t="s">
        <v>1446</v>
      </c>
      <c r="L87" s="8" t="s">
        <v>1225</v>
      </c>
      <c r="M87" s="8" t="s">
        <v>144</v>
      </c>
      <c r="N87" s="8" t="s">
        <v>145</v>
      </c>
      <c r="O87" s="8" t="s">
        <v>141</v>
      </c>
      <c r="P87" s="11">
        <v>0.3</v>
      </c>
      <c r="Q87" s="8" t="s">
        <v>641</v>
      </c>
      <c r="R87" s="8" t="s">
        <v>147</v>
      </c>
      <c r="S87" s="8" t="s">
        <v>148</v>
      </c>
      <c r="T87" s="8" t="s">
        <v>149</v>
      </c>
      <c r="U87" s="8" t="s">
        <v>150</v>
      </c>
      <c r="V87" s="8" t="s">
        <v>151</v>
      </c>
      <c r="W87" s="8" t="s">
        <v>152</v>
      </c>
      <c r="X87" s="8" t="s">
        <v>289</v>
      </c>
      <c r="Y87" s="8" t="s">
        <v>193</v>
      </c>
      <c r="Z87" s="8" t="s">
        <v>1454</v>
      </c>
      <c r="AA87" s="8" t="s">
        <v>141</v>
      </c>
      <c r="AB87" s="8"/>
      <c r="AC87" s="8" t="s">
        <v>280</v>
      </c>
      <c r="AD87" s="8" t="s">
        <v>180</v>
      </c>
      <c r="AE87" s="8" t="s">
        <v>181</v>
      </c>
      <c r="AF87" s="8" t="s">
        <v>182</v>
      </c>
      <c r="AG87" s="8" t="s">
        <v>182</v>
      </c>
      <c r="AH87" s="8"/>
      <c r="AI87" s="8"/>
      <c r="AJ87" s="8" t="s">
        <v>1457</v>
      </c>
      <c r="AK87" s="8" t="s">
        <v>164</v>
      </c>
      <c r="AL87" s="8"/>
    </row>
    <row r="88" ht="15.75" customHeight="1">
      <c r="A88" s="7">
        <v>87.0</v>
      </c>
      <c r="B88" s="8" t="s">
        <v>1460</v>
      </c>
      <c r="C88" s="9" t="s">
        <v>490</v>
      </c>
      <c r="D88" s="8" t="s">
        <v>1371</v>
      </c>
      <c r="E88" s="8" t="s">
        <v>1372</v>
      </c>
      <c r="F88" s="10">
        <v>0.0</v>
      </c>
      <c r="G88" s="10">
        <f t="shared" si="1"/>
        <v>0</v>
      </c>
      <c r="H88" s="8" t="s">
        <v>1463</v>
      </c>
      <c r="I88" s="8" t="s">
        <v>1464</v>
      </c>
      <c r="J88" s="8" t="s">
        <v>221</v>
      </c>
      <c r="K88" s="8" t="s">
        <v>743</v>
      </c>
      <c r="L88" s="8"/>
      <c r="M88" s="8" t="s">
        <v>261</v>
      </c>
      <c r="N88" s="8" t="s">
        <v>262</v>
      </c>
      <c r="O88" s="8" t="s">
        <v>164</v>
      </c>
      <c r="P88" s="11">
        <v>0.4</v>
      </c>
      <c r="Q88" s="8" t="s">
        <v>493</v>
      </c>
      <c r="R88" s="8" t="s">
        <v>264</v>
      </c>
      <c r="S88" s="8" t="s">
        <v>148</v>
      </c>
      <c r="T88" s="8" t="s">
        <v>149</v>
      </c>
      <c r="U88" s="8" t="s">
        <v>265</v>
      </c>
      <c r="V88" s="8" t="s">
        <v>151</v>
      </c>
      <c r="W88" s="8" t="s">
        <v>152</v>
      </c>
      <c r="X88" s="8" t="s">
        <v>289</v>
      </c>
      <c r="Y88" s="8" t="s">
        <v>154</v>
      </c>
      <c r="Z88" s="8" t="s">
        <v>1471</v>
      </c>
      <c r="AA88" s="8" t="s">
        <v>141</v>
      </c>
      <c r="AB88" s="8"/>
      <c r="AC88" s="8" t="s">
        <v>1473</v>
      </c>
      <c r="AD88" s="8" t="s">
        <v>180</v>
      </c>
      <c r="AE88" s="8" t="s">
        <v>181</v>
      </c>
      <c r="AF88" s="8" t="s">
        <v>182</v>
      </c>
      <c r="AG88" s="8" t="s">
        <v>182</v>
      </c>
      <c r="AH88" s="8"/>
      <c r="AI88" s="8" t="s">
        <v>1476</v>
      </c>
      <c r="AJ88" s="8" t="s">
        <v>1478</v>
      </c>
      <c r="AK88" s="8" t="s">
        <v>164</v>
      </c>
      <c r="AL88" s="8"/>
    </row>
    <row r="89" ht="15.75" customHeight="1">
      <c r="A89" s="7">
        <v>88.0</v>
      </c>
      <c r="B89" s="8" t="s">
        <v>1481</v>
      </c>
      <c r="C89" s="9" t="s">
        <v>536</v>
      </c>
      <c r="D89" s="8" t="s">
        <v>1371</v>
      </c>
      <c r="E89" s="8" t="s">
        <v>1372</v>
      </c>
      <c r="F89" s="10">
        <v>0.0</v>
      </c>
      <c r="G89" s="10">
        <f t="shared" si="1"/>
        <v>0</v>
      </c>
      <c r="H89" s="8"/>
      <c r="I89" s="8"/>
      <c r="J89" s="8" t="s">
        <v>141</v>
      </c>
      <c r="K89" s="8" t="s">
        <v>498</v>
      </c>
      <c r="L89" s="8" t="s">
        <v>1225</v>
      </c>
      <c r="M89" s="8" t="s">
        <v>144</v>
      </c>
      <c r="N89" s="8" t="s">
        <v>145</v>
      </c>
      <c r="O89" s="8" t="s">
        <v>141</v>
      </c>
      <c r="P89" s="11">
        <v>0.6</v>
      </c>
      <c r="Q89" s="8" t="s">
        <v>537</v>
      </c>
      <c r="R89" s="8" t="s">
        <v>147</v>
      </c>
      <c r="S89" s="8" t="s">
        <v>148</v>
      </c>
      <c r="T89" s="8" t="s">
        <v>149</v>
      </c>
      <c r="U89" s="8" t="s">
        <v>150</v>
      </c>
      <c r="V89" s="8" t="s">
        <v>151</v>
      </c>
      <c r="W89" s="8" t="s">
        <v>152</v>
      </c>
      <c r="X89" s="8" t="s">
        <v>289</v>
      </c>
      <c r="Y89" s="8" t="s">
        <v>154</v>
      </c>
      <c r="Z89" s="8" t="s">
        <v>1493</v>
      </c>
      <c r="AA89" s="8" t="s">
        <v>141</v>
      </c>
      <c r="AB89" s="8"/>
      <c r="AC89" s="8" t="s">
        <v>280</v>
      </c>
      <c r="AD89" s="8" t="s">
        <v>750</v>
      </c>
      <c r="AE89" s="8" t="s">
        <v>751</v>
      </c>
      <c r="AF89" s="8" t="s">
        <v>1494</v>
      </c>
      <c r="AG89" s="8" t="s">
        <v>1495</v>
      </c>
      <c r="AH89" s="8"/>
      <c r="AI89" s="8"/>
      <c r="AJ89" s="8" t="s">
        <v>1496</v>
      </c>
      <c r="AK89" s="8" t="s">
        <v>141</v>
      </c>
      <c r="AL89" s="8" t="s">
        <v>1497</v>
      </c>
    </row>
    <row r="90" ht="15.75" customHeight="1">
      <c r="A90" s="7">
        <v>89.0</v>
      </c>
      <c r="B90" s="8" t="s">
        <v>1498</v>
      </c>
      <c r="C90" s="9" t="s">
        <v>406</v>
      </c>
      <c r="D90" s="8" t="s">
        <v>137</v>
      </c>
      <c r="E90" s="8" t="s">
        <v>285</v>
      </c>
      <c r="F90" s="10">
        <v>60.0</v>
      </c>
      <c r="G90" s="10">
        <f t="shared" si="1"/>
        <v>720</v>
      </c>
      <c r="H90" s="8" t="s">
        <v>1499</v>
      </c>
      <c r="I90" s="8" t="s">
        <v>1500</v>
      </c>
      <c r="J90" s="8" t="s">
        <v>141</v>
      </c>
      <c r="K90" s="8" t="s">
        <v>391</v>
      </c>
      <c r="L90" s="8" t="s">
        <v>1225</v>
      </c>
      <c r="M90" s="8" t="s">
        <v>144</v>
      </c>
      <c r="N90" s="8" t="s">
        <v>145</v>
      </c>
      <c r="O90" s="8" t="s">
        <v>141</v>
      </c>
      <c r="P90" s="11">
        <v>0.9</v>
      </c>
      <c r="Q90" s="8" t="s">
        <v>408</v>
      </c>
      <c r="R90" s="8" t="s">
        <v>207</v>
      </c>
      <c r="S90" s="8" t="s">
        <v>148</v>
      </c>
      <c r="T90" s="8" t="s">
        <v>149</v>
      </c>
      <c r="U90" s="8" t="s">
        <v>148</v>
      </c>
      <c r="V90" s="8" t="s">
        <v>151</v>
      </c>
      <c r="W90" s="8" t="s">
        <v>333</v>
      </c>
      <c r="X90" s="8" t="s">
        <v>289</v>
      </c>
      <c r="Y90" s="8" t="s">
        <v>589</v>
      </c>
      <c r="Z90" s="8" t="s">
        <v>1501</v>
      </c>
      <c r="AA90" s="8" t="s">
        <v>141</v>
      </c>
      <c r="AB90" s="8"/>
      <c r="AC90" s="8" t="s">
        <v>1502</v>
      </c>
      <c r="AD90" s="8" t="s">
        <v>1302</v>
      </c>
      <c r="AE90" s="8" t="s">
        <v>1304</v>
      </c>
      <c r="AF90" s="8" t="s">
        <v>1503</v>
      </c>
      <c r="AG90" s="8" t="s">
        <v>1504</v>
      </c>
      <c r="AH90" s="8"/>
      <c r="AI90" s="8" t="s">
        <v>1505</v>
      </c>
      <c r="AJ90" s="8" t="s">
        <v>1506</v>
      </c>
      <c r="AK90" s="8" t="s">
        <v>141</v>
      </c>
      <c r="AL90" s="8" t="s">
        <v>1507</v>
      </c>
    </row>
    <row r="91" ht="15.75" customHeight="1">
      <c r="A91" s="7">
        <v>90.0</v>
      </c>
      <c r="B91" s="8" t="s">
        <v>1508</v>
      </c>
      <c r="C91" s="9" t="s">
        <v>1509</v>
      </c>
      <c r="D91" s="8" t="s">
        <v>137</v>
      </c>
      <c r="E91" s="8" t="s">
        <v>285</v>
      </c>
      <c r="F91" s="10">
        <v>40.0</v>
      </c>
      <c r="G91" s="10">
        <f t="shared" si="1"/>
        <v>480</v>
      </c>
      <c r="H91" s="8" t="s">
        <v>548</v>
      </c>
      <c r="I91" s="8" t="s">
        <v>1510</v>
      </c>
      <c r="J91" s="8" t="s">
        <v>164</v>
      </c>
      <c r="K91" s="8"/>
      <c r="L91" s="8"/>
      <c r="M91" s="8" t="s">
        <v>261</v>
      </c>
      <c r="N91" s="8" t="s">
        <v>170</v>
      </c>
      <c r="O91" s="8" t="s">
        <v>164</v>
      </c>
      <c r="P91" s="11"/>
      <c r="Q91" s="8"/>
      <c r="R91" s="8" t="s">
        <v>172</v>
      </c>
      <c r="S91" s="8" t="s">
        <v>474</v>
      </c>
      <c r="T91" s="8" t="s">
        <v>477</v>
      </c>
      <c r="U91" s="8" t="s">
        <v>474</v>
      </c>
      <c r="V91" s="8" t="s">
        <v>164</v>
      </c>
      <c r="W91" s="8"/>
      <c r="X91" s="8" t="s">
        <v>289</v>
      </c>
      <c r="Y91" s="8" t="s">
        <v>249</v>
      </c>
      <c r="Z91" s="8" t="s">
        <v>1511</v>
      </c>
      <c r="AA91" s="8" t="s">
        <v>195</v>
      </c>
      <c r="AB91" s="8"/>
      <c r="AC91" s="8" t="s">
        <v>1512</v>
      </c>
      <c r="AD91" s="8" t="s">
        <v>180</v>
      </c>
      <c r="AE91" s="8" t="s">
        <v>181</v>
      </c>
      <c r="AF91" s="8" t="s">
        <v>182</v>
      </c>
      <c r="AG91" s="8" t="s">
        <v>182</v>
      </c>
      <c r="AH91" s="8"/>
      <c r="AI91" s="8"/>
      <c r="AJ91" s="8" t="s">
        <v>1513</v>
      </c>
      <c r="AK91" s="8" t="s">
        <v>164</v>
      </c>
      <c r="AL91" s="8"/>
    </row>
    <row r="92" ht="15.75" customHeight="1">
      <c r="A92" s="7">
        <v>91.0</v>
      </c>
      <c r="B92" s="8" t="s">
        <v>1514</v>
      </c>
      <c r="C92" s="9" t="s">
        <v>1515</v>
      </c>
      <c r="D92" s="8" t="s">
        <v>137</v>
      </c>
      <c r="E92" s="8" t="s">
        <v>285</v>
      </c>
      <c r="F92" s="10">
        <v>40.0</v>
      </c>
      <c r="G92" s="10">
        <f t="shared" si="1"/>
        <v>480</v>
      </c>
      <c r="H92" s="8" t="s">
        <v>548</v>
      </c>
      <c r="I92" s="8" t="s">
        <v>1516</v>
      </c>
      <c r="J92" s="8" t="s">
        <v>164</v>
      </c>
      <c r="K92" s="8"/>
      <c r="L92" s="8"/>
      <c r="M92" s="8" t="s">
        <v>261</v>
      </c>
      <c r="N92" s="8" t="s">
        <v>170</v>
      </c>
      <c r="O92" s="8" t="s">
        <v>164</v>
      </c>
      <c r="P92" s="11"/>
      <c r="Q92" s="8"/>
      <c r="R92" s="8" t="s">
        <v>172</v>
      </c>
      <c r="S92" s="8" t="s">
        <v>474</v>
      </c>
      <c r="T92" s="8" t="s">
        <v>477</v>
      </c>
      <c r="U92" s="8" t="s">
        <v>474</v>
      </c>
      <c r="V92" s="8" t="s">
        <v>164</v>
      </c>
      <c r="W92" s="8"/>
      <c r="X92" s="8" t="s">
        <v>289</v>
      </c>
      <c r="Y92" s="8" t="s">
        <v>249</v>
      </c>
      <c r="Z92" s="8" t="s">
        <v>1517</v>
      </c>
      <c r="AA92" s="8" t="s">
        <v>195</v>
      </c>
      <c r="AB92" s="8"/>
      <c r="AC92" s="8" t="s">
        <v>1062</v>
      </c>
      <c r="AD92" s="8" t="s">
        <v>252</v>
      </c>
      <c r="AE92" s="8" t="s">
        <v>181</v>
      </c>
      <c r="AF92" s="8" t="s">
        <v>253</v>
      </c>
      <c r="AG92" s="8" t="s">
        <v>182</v>
      </c>
      <c r="AH92" s="8" t="s">
        <v>821</v>
      </c>
      <c r="AI92" s="8"/>
      <c r="AJ92" s="8" t="s">
        <v>1518</v>
      </c>
      <c r="AK92" s="8" t="s">
        <v>164</v>
      </c>
      <c r="AL92" s="8"/>
    </row>
    <row r="93" ht="15.75" customHeight="1">
      <c r="A93" s="7">
        <v>92.0</v>
      </c>
      <c r="B93" s="8" t="s">
        <v>1519</v>
      </c>
      <c r="C93" s="9" t="s">
        <v>447</v>
      </c>
      <c r="D93" s="8" t="s">
        <v>1371</v>
      </c>
      <c r="E93" s="8" t="s">
        <v>1372</v>
      </c>
      <c r="F93" s="10">
        <v>0.0</v>
      </c>
      <c r="G93" s="10">
        <f t="shared" si="1"/>
        <v>0</v>
      </c>
      <c r="H93" s="8"/>
      <c r="I93" s="8" t="s">
        <v>1520</v>
      </c>
      <c r="J93" s="8" t="s">
        <v>141</v>
      </c>
      <c r="K93" s="8" t="s">
        <v>450</v>
      </c>
      <c r="L93" s="8"/>
      <c r="M93" s="8" t="s">
        <v>144</v>
      </c>
      <c r="N93" s="8" t="s">
        <v>145</v>
      </c>
      <c r="O93" s="8" t="s">
        <v>141</v>
      </c>
      <c r="P93" s="11">
        <v>0.8</v>
      </c>
      <c r="Q93" s="8" t="s">
        <v>452</v>
      </c>
      <c r="R93" s="8" t="s">
        <v>207</v>
      </c>
      <c r="S93" s="8" t="s">
        <v>148</v>
      </c>
      <c r="T93" s="8" t="s">
        <v>149</v>
      </c>
      <c r="U93" s="8" t="s">
        <v>148</v>
      </c>
      <c r="V93" s="8" t="s">
        <v>393</v>
      </c>
      <c r="W93" s="8" t="s">
        <v>152</v>
      </c>
      <c r="X93" s="8" t="s">
        <v>289</v>
      </c>
      <c r="Y93" s="8" t="s">
        <v>154</v>
      </c>
      <c r="Z93" s="8" t="s">
        <v>1521</v>
      </c>
      <c r="AA93" s="8" t="s">
        <v>141</v>
      </c>
      <c r="AB93" s="8"/>
      <c r="AC93" s="8" t="s">
        <v>1522</v>
      </c>
      <c r="AD93" s="8" t="s">
        <v>1302</v>
      </c>
      <c r="AE93" s="8" t="s">
        <v>1304</v>
      </c>
      <c r="AF93" s="8" t="s">
        <v>1523</v>
      </c>
      <c r="AG93" s="8" t="s">
        <v>1524</v>
      </c>
      <c r="AH93" s="8"/>
      <c r="AI93" s="8"/>
      <c r="AJ93" s="8" t="s">
        <v>1525</v>
      </c>
      <c r="AK93" s="8" t="s">
        <v>141</v>
      </c>
      <c r="AL93" s="8" t="s">
        <v>1526</v>
      </c>
    </row>
    <row r="94" ht="15.75" customHeight="1">
      <c r="A94" s="7">
        <v>93.0</v>
      </c>
      <c r="B94" s="8" t="s">
        <v>1527</v>
      </c>
      <c r="C94" s="9" t="s">
        <v>644</v>
      </c>
      <c r="D94" s="8" t="s">
        <v>1371</v>
      </c>
      <c r="E94" s="8" t="s">
        <v>1372</v>
      </c>
      <c r="F94" s="10">
        <v>0.0</v>
      </c>
      <c r="G94" s="10">
        <f t="shared" si="1"/>
        <v>0</v>
      </c>
      <c r="H94" s="8"/>
      <c r="I94" s="8" t="s">
        <v>1528</v>
      </c>
      <c r="J94" s="8" t="s">
        <v>141</v>
      </c>
      <c r="K94" s="8" t="s">
        <v>142</v>
      </c>
      <c r="L94" s="8" t="s">
        <v>1396</v>
      </c>
      <c r="M94" s="8" t="s">
        <v>144</v>
      </c>
      <c r="N94" s="8" t="s">
        <v>145</v>
      </c>
      <c r="O94" s="8" t="s">
        <v>141</v>
      </c>
      <c r="P94" s="11">
        <v>0.3</v>
      </c>
      <c r="Q94" s="8" t="s">
        <v>645</v>
      </c>
      <c r="R94" s="8" t="s">
        <v>147</v>
      </c>
      <c r="S94" s="8" t="s">
        <v>148</v>
      </c>
      <c r="T94" s="8" t="s">
        <v>149</v>
      </c>
      <c r="U94" s="8" t="s">
        <v>150</v>
      </c>
      <c r="V94" s="8" t="s">
        <v>393</v>
      </c>
      <c r="W94" s="8" t="s">
        <v>152</v>
      </c>
      <c r="X94" s="8" t="s">
        <v>289</v>
      </c>
      <c r="Y94" s="8" t="s">
        <v>154</v>
      </c>
      <c r="Z94" s="8" t="s">
        <v>1529</v>
      </c>
      <c r="AA94" s="8" t="s">
        <v>141</v>
      </c>
      <c r="AB94" s="8"/>
      <c r="AC94" s="8" t="s">
        <v>280</v>
      </c>
      <c r="AD94" s="8" t="s">
        <v>180</v>
      </c>
      <c r="AE94" s="8" t="s">
        <v>181</v>
      </c>
      <c r="AF94" s="8" t="s">
        <v>182</v>
      </c>
      <c r="AG94" s="8" t="s">
        <v>182</v>
      </c>
      <c r="AH94" s="8"/>
      <c r="AI94" s="8"/>
      <c r="AJ94" s="8" t="s">
        <v>1530</v>
      </c>
      <c r="AK94" s="8" t="s">
        <v>164</v>
      </c>
      <c r="AL94" s="8"/>
    </row>
    <row r="95" ht="15.75" customHeight="1">
      <c r="A95" s="7">
        <v>94.0</v>
      </c>
      <c r="B95" s="8" t="s">
        <v>1531</v>
      </c>
      <c r="C95" s="9" t="s">
        <v>390</v>
      </c>
      <c r="D95" s="8" t="s">
        <v>1371</v>
      </c>
      <c r="E95" s="8" t="s">
        <v>1372</v>
      </c>
      <c r="F95" s="10">
        <v>0.0</v>
      </c>
      <c r="G95" s="10">
        <f t="shared" si="1"/>
        <v>0</v>
      </c>
      <c r="H95" s="8"/>
      <c r="I95" s="8" t="s">
        <v>521</v>
      </c>
      <c r="J95" s="8" t="s">
        <v>141</v>
      </c>
      <c r="K95" s="8" t="s">
        <v>391</v>
      </c>
      <c r="L95" s="8" t="s">
        <v>1225</v>
      </c>
      <c r="M95" s="8" t="s">
        <v>144</v>
      </c>
      <c r="N95" s="8" t="s">
        <v>145</v>
      </c>
      <c r="O95" s="8" t="s">
        <v>141</v>
      </c>
      <c r="P95" s="11">
        <v>1.0</v>
      </c>
      <c r="Q95" s="8" t="s">
        <v>394</v>
      </c>
      <c r="R95" s="8" t="s">
        <v>207</v>
      </c>
      <c r="S95" s="8" t="s">
        <v>148</v>
      </c>
      <c r="T95" s="8" t="s">
        <v>149</v>
      </c>
      <c r="U95" s="8" t="s">
        <v>148</v>
      </c>
      <c r="V95" s="8" t="s">
        <v>393</v>
      </c>
      <c r="W95" s="8" t="s">
        <v>152</v>
      </c>
      <c r="X95" s="8" t="s">
        <v>289</v>
      </c>
      <c r="Y95" s="8" t="s">
        <v>154</v>
      </c>
      <c r="Z95" s="8" t="s">
        <v>1532</v>
      </c>
      <c r="AA95" s="8" t="s">
        <v>141</v>
      </c>
      <c r="AB95" s="8"/>
      <c r="AC95" s="8" t="s">
        <v>280</v>
      </c>
      <c r="AD95" s="8" t="s">
        <v>1302</v>
      </c>
      <c r="AE95" s="8" t="s">
        <v>1304</v>
      </c>
      <c r="AF95" s="8" t="s">
        <v>1523</v>
      </c>
      <c r="AG95" s="8" t="s">
        <v>1533</v>
      </c>
      <c r="AH95" s="8"/>
      <c r="AI95" s="8"/>
      <c r="AJ95" s="8" t="s">
        <v>1534</v>
      </c>
      <c r="AK95" s="8" t="s">
        <v>164</v>
      </c>
      <c r="AL95" s="8"/>
    </row>
    <row r="96" ht="15.75" customHeight="1">
      <c r="A96" s="7">
        <v>95.0</v>
      </c>
      <c r="B96" s="8" t="s">
        <v>1535</v>
      </c>
      <c r="C96" s="9" t="s">
        <v>551</v>
      </c>
      <c r="D96" s="8" t="s">
        <v>1371</v>
      </c>
      <c r="E96" s="8" t="s">
        <v>1536</v>
      </c>
      <c r="F96" s="10">
        <v>0.0</v>
      </c>
      <c r="G96" s="10">
        <f t="shared" si="1"/>
        <v>0</v>
      </c>
      <c r="H96" s="8"/>
      <c r="I96" s="8" t="s">
        <v>1537</v>
      </c>
      <c r="J96" s="8" t="s">
        <v>141</v>
      </c>
      <c r="K96" s="8" t="s">
        <v>1538</v>
      </c>
      <c r="L96" s="8" t="s">
        <v>1396</v>
      </c>
      <c r="M96" s="8" t="s">
        <v>144</v>
      </c>
      <c r="N96" s="8" t="s">
        <v>145</v>
      </c>
      <c r="O96" s="8" t="s">
        <v>141</v>
      </c>
      <c r="P96" s="11">
        <v>0.5</v>
      </c>
      <c r="Q96" s="8" t="s">
        <v>553</v>
      </c>
      <c r="R96" s="8" t="s">
        <v>147</v>
      </c>
      <c r="S96" s="8" t="s">
        <v>148</v>
      </c>
      <c r="T96" s="8" t="s">
        <v>149</v>
      </c>
      <c r="U96" s="8" t="s">
        <v>150</v>
      </c>
      <c r="V96" s="8" t="s">
        <v>393</v>
      </c>
      <c r="W96" s="8" t="s">
        <v>152</v>
      </c>
      <c r="X96" s="8" t="s">
        <v>289</v>
      </c>
      <c r="Y96" s="8" t="s">
        <v>589</v>
      </c>
      <c r="Z96" s="8" t="s">
        <v>1539</v>
      </c>
      <c r="AA96" s="8" t="s">
        <v>141</v>
      </c>
      <c r="AB96" s="8"/>
      <c r="AC96" s="8" t="s">
        <v>1540</v>
      </c>
      <c r="AD96" s="8" t="s">
        <v>180</v>
      </c>
      <c r="AE96" s="8" t="s">
        <v>181</v>
      </c>
      <c r="AF96" s="8" t="s">
        <v>182</v>
      </c>
      <c r="AG96" s="8" t="s">
        <v>182</v>
      </c>
      <c r="AH96" s="8"/>
      <c r="AI96" s="8"/>
      <c r="AJ96" s="8" t="s">
        <v>1541</v>
      </c>
      <c r="AK96" s="8" t="s">
        <v>164</v>
      </c>
      <c r="AL96" s="8"/>
    </row>
    <row r="97" ht="15.75" customHeight="1">
      <c r="A97" s="7">
        <v>96.0</v>
      </c>
      <c r="B97" s="8" t="s">
        <v>1542</v>
      </c>
      <c r="C97" s="9" t="s">
        <v>497</v>
      </c>
      <c r="D97" s="8" t="s">
        <v>1371</v>
      </c>
      <c r="E97" s="8" t="s">
        <v>1536</v>
      </c>
      <c r="F97" s="10">
        <v>0.0</v>
      </c>
      <c r="G97" s="10">
        <f t="shared" si="1"/>
        <v>0</v>
      </c>
      <c r="H97" s="8"/>
      <c r="I97" s="8" t="s">
        <v>1543</v>
      </c>
      <c r="J97" s="8" t="s">
        <v>141</v>
      </c>
      <c r="K97" s="8" t="s">
        <v>1544</v>
      </c>
      <c r="L97" s="8" t="s">
        <v>1396</v>
      </c>
      <c r="M97" s="8" t="s">
        <v>261</v>
      </c>
      <c r="N97" s="8" t="s">
        <v>262</v>
      </c>
      <c r="O97" s="8" t="s">
        <v>164</v>
      </c>
      <c r="P97" s="11">
        <v>1.0</v>
      </c>
      <c r="Q97" s="8" t="s">
        <v>499</v>
      </c>
      <c r="R97" s="8" t="s">
        <v>264</v>
      </c>
      <c r="S97" s="8" t="s">
        <v>148</v>
      </c>
      <c r="T97" s="8" t="s">
        <v>149</v>
      </c>
      <c r="U97" s="8" t="s">
        <v>265</v>
      </c>
      <c r="V97" s="8" t="s">
        <v>393</v>
      </c>
      <c r="W97" s="8" t="s">
        <v>152</v>
      </c>
      <c r="X97" s="8" t="s">
        <v>289</v>
      </c>
      <c r="Y97" s="8" t="s">
        <v>589</v>
      </c>
      <c r="Z97" s="8" t="s">
        <v>1545</v>
      </c>
      <c r="AA97" s="8" t="s">
        <v>141</v>
      </c>
      <c r="AB97" s="8"/>
      <c r="AC97" s="8" t="s">
        <v>1546</v>
      </c>
      <c r="AD97" s="8" t="s">
        <v>180</v>
      </c>
      <c r="AE97" s="8" t="s">
        <v>181</v>
      </c>
      <c r="AF97" s="8" t="s">
        <v>182</v>
      </c>
      <c r="AG97" s="8" t="s">
        <v>182</v>
      </c>
      <c r="AH97" s="8"/>
      <c r="AI97" s="8"/>
      <c r="AJ97" s="8" t="s">
        <v>1547</v>
      </c>
      <c r="AK97" s="8" t="s">
        <v>141</v>
      </c>
      <c r="AL97" s="8" t="s">
        <v>1548</v>
      </c>
    </row>
    <row r="98" ht="15.75" customHeight="1">
      <c r="A98" s="7">
        <v>97.0</v>
      </c>
      <c r="B98" s="8" t="s">
        <v>1549</v>
      </c>
      <c r="C98" s="9" t="s">
        <v>1550</v>
      </c>
      <c r="D98" s="8" t="s">
        <v>1371</v>
      </c>
      <c r="E98" s="8" t="s">
        <v>1536</v>
      </c>
      <c r="F98" s="10">
        <v>0.0</v>
      </c>
      <c r="G98" s="10">
        <f t="shared" si="1"/>
        <v>0</v>
      </c>
      <c r="H98" s="8"/>
      <c r="I98" s="8" t="s">
        <v>1551</v>
      </c>
      <c r="J98" s="8" t="s">
        <v>141</v>
      </c>
      <c r="K98" s="8" t="s">
        <v>1544</v>
      </c>
      <c r="L98" s="8" t="s">
        <v>1396</v>
      </c>
      <c r="M98" s="8" t="s">
        <v>261</v>
      </c>
      <c r="N98" s="8" t="s">
        <v>262</v>
      </c>
      <c r="O98" s="8" t="s">
        <v>164</v>
      </c>
      <c r="P98" s="11"/>
      <c r="Q98" s="8"/>
      <c r="R98" s="8" t="s">
        <v>172</v>
      </c>
      <c r="S98" s="8" t="s">
        <v>474</v>
      </c>
      <c r="T98" s="8" t="s">
        <v>477</v>
      </c>
      <c r="U98" s="8" t="s">
        <v>474</v>
      </c>
      <c r="V98" s="8" t="s">
        <v>393</v>
      </c>
      <c r="W98" s="8"/>
      <c r="X98" s="8" t="s">
        <v>289</v>
      </c>
      <c r="Y98" s="8" t="s">
        <v>589</v>
      </c>
      <c r="Z98" s="8" t="s">
        <v>1552</v>
      </c>
      <c r="AA98" s="8" t="s">
        <v>141</v>
      </c>
      <c r="AB98" s="8"/>
      <c r="AC98" s="8" t="s">
        <v>1553</v>
      </c>
      <c r="AD98" s="8" t="s">
        <v>180</v>
      </c>
      <c r="AE98" s="8" t="s">
        <v>181</v>
      </c>
      <c r="AF98" s="8" t="s">
        <v>182</v>
      </c>
      <c r="AG98" s="8" t="s">
        <v>182</v>
      </c>
      <c r="AH98" s="8"/>
      <c r="AI98" s="8"/>
      <c r="AJ98" s="8" t="s">
        <v>1554</v>
      </c>
      <c r="AK98" s="8" t="s">
        <v>164</v>
      </c>
      <c r="AL98" s="8"/>
    </row>
    <row r="99" ht="15.75" customHeight="1">
      <c r="A99" s="7">
        <v>98.0</v>
      </c>
      <c r="B99" s="8" t="s">
        <v>1555</v>
      </c>
      <c r="C99" s="9" t="s">
        <v>604</v>
      </c>
      <c r="D99" s="8" t="s">
        <v>1371</v>
      </c>
      <c r="E99" s="8" t="s">
        <v>1536</v>
      </c>
      <c r="F99" s="10">
        <v>0.0</v>
      </c>
      <c r="G99" s="10">
        <f t="shared" si="1"/>
        <v>0</v>
      </c>
      <c r="H99" s="8"/>
      <c r="I99" s="8" t="s">
        <v>301</v>
      </c>
      <c r="J99" s="8" t="s">
        <v>141</v>
      </c>
      <c r="K99" s="8" t="s">
        <v>222</v>
      </c>
      <c r="L99" s="8" t="s">
        <v>1396</v>
      </c>
      <c r="M99" s="8" t="s">
        <v>144</v>
      </c>
      <c r="N99" s="8" t="s">
        <v>145</v>
      </c>
      <c r="O99" s="8" t="s">
        <v>141</v>
      </c>
      <c r="P99" s="11">
        <v>0.4</v>
      </c>
      <c r="Q99" s="8" t="s">
        <v>605</v>
      </c>
      <c r="R99" s="8" t="s">
        <v>147</v>
      </c>
      <c r="S99" s="8" t="s">
        <v>148</v>
      </c>
      <c r="T99" s="8" t="s">
        <v>149</v>
      </c>
      <c r="U99" s="8" t="s">
        <v>150</v>
      </c>
      <c r="V99" s="8" t="s">
        <v>151</v>
      </c>
      <c r="W99" s="8" t="s">
        <v>152</v>
      </c>
      <c r="X99" s="8" t="s">
        <v>289</v>
      </c>
      <c r="Y99" s="8" t="s">
        <v>193</v>
      </c>
      <c r="Z99" s="8" t="s">
        <v>1556</v>
      </c>
      <c r="AA99" s="8" t="s">
        <v>141</v>
      </c>
      <c r="AB99" s="8"/>
      <c r="AC99" s="8" t="s">
        <v>280</v>
      </c>
      <c r="AD99" s="8" t="s">
        <v>180</v>
      </c>
      <c r="AE99" s="8" t="s">
        <v>181</v>
      </c>
      <c r="AF99" s="8" t="s">
        <v>182</v>
      </c>
      <c r="AG99" s="8" t="s">
        <v>182</v>
      </c>
      <c r="AH99" s="8"/>
      <c r="AI99" s="8"/>
      <c r="AJ99" s="8" t="s">
        <v>1557</v>
      </c>
      <c r="AK99" s="8" t="s">
        <v>164</v>
      </c>
      <c r="AL99" s="8"/>
    </row>
    <row r="100" ht="15.75" customHeight="1">
      <c r="A100" s="7">
        <v>99.0</v>
      </c>
      <c r="B100" s="8" t="s">
        <v>1558</v>
      </c>
      <c r="C100" s="9" t="s">
        <v>555</v>
      </c>
      <c r="D100" s="8" t="s">
        <v>137</v>
      </c>
      <c r="E100" s="8" t="s">
        <v>1559</v>
      </c>
      <c r="F100" s="10">
        <v>100.0</v>
      </c>
      <c r="G100" s="10">
        <f t="shared" si="1"/>
        <v>1200</v>
      </c>
      <c r="H100" s="8" t="s">
        <v>1560</v>
      </c>
      <c r="I100" s="8" t="s">
        <v>1561</v>
      </c>
      <c r="J100" s="8" t="s">
        <v>141</v>
      </c>
      <c r="K100" s="8" t="s">
        <v>1563</v>
      </c>
      <c r="L100" s="8"/>
      <c r="M100" s="8" t="s">
        <v>144</v>
      </c>
      <c r="N100" s="8" t="s">
        <v>145</v>
      </c>
      <c r="O100" s="8" t="s">
        <v>141</v>
      </c>
      <c r="P100" s="11">
        <v>0.5</v>
      </c>
      <c r="Q100" s="8" t="s">
        <v>556</v>
      </c>
      <c r="R100" s="8" t="s">
        <v>147</v>
      </c>
      <c r="S100" s="8" t="s">
        <v>148</v>
      </c>
      <c r="T100" s="8" t="s">
        <v>149</v>
      </c>
      <c r="U100" s="8" t="s">
        <v>150</v>
      </c>
      <c r="V100" s="8" t="s">
        <v>151</v>
      </c>
      <c r="W100" s="8" t="s">
        <v>152</v>
      </c>
      <c r="X100" s="8" t="s">
        <v>289</v>
      </c>
      <c r="Y100" s="8" t="s">
        <v>193</v>
      </c>
      <c r="Z100" s="8" t="s">
        <v>1567</v>
      </c>
      <c r="AA100" s="8" t="s">
        <v>141</v>
      </c>
      <c r="AB100" s="8"/>
      <c r="AC100" s="8" t="s">
        <v>1568</v>
      </c>
      <c r="AD100" s="8" t="s">
        <v>1302</v>
      </c>
      <c r="AE100" s="8" t="s">
        <v>1304</v>
      </c>
      <c r="AF100" s="8" t="s">
        <v>1570</v>
      </c>
      <c r="AG100" s="8" t="s">
        <v>1572</v>
      </c>
      <c r="AH100" s="8"/>
      <c r="AI100" s="8" t="s">
        <v>1575</v>
      </c>
      <c r="AJ100" s="8" t="s">
        <v>1576</v>
      </c>
      <c r="AK100" s="8" t="s">
        <v>141</v>
      </c>
      <c r="AL100" s="8" t="s">
        <v>1580</v>
      </c>
    </row>
    <row r="101" ht="15.75" customHeight="1">
      <c r="A101" s="7">
        <v>100.0</v>
      </c>
      <c r="B101" s="8" t="s">
        <v>1595</v>
      </c>
      <c r="C101" s="9" t="s">
        <v>646</v>
      </c>
      <c r="D101" s="8" t="s">
        <v>1371</v>
      </c>
      <c r="E101" s="8" t="s">
        <v>1536</v>
      </c>
      <c r="F101" s="10">
        <v>0.0</v>
      </c>
      <c r="G101" s="10">
        <f t="shared" si="1"/>
        <v>0</v>
      </c>
      <c r="H101" s="8" t="s">
        <v>1612</v>
      </c>
      <c r="I101" s="8" t="s">
        <v>1614</v>
      </c>
      <c r="J101" s="8" t="s">
        <v>141</v>
      </c>
      <c r="K101" s="8" t="s">
        <v>1620</v>
      </c>
      <c r="L101" s="8"/>
      <c r="M101" s="8" t="s">
        <v>144</v>
      </c>
      <c r="N101" s="8" t="s">
        <v>145</v>
      </c>
      <c r="O101" s="8" t="s">
        <v>141</v>
      </c>
      <c r="P101" s="11">
        <v>0.3</v>
      </c>
      <c r="Q101" s="8" t="s">
        <v>647</v>
      </c>
      <c r="R101" s="8" t="s">
        <v>147</v>
      </c>
      <c r="S101" s="8" t="s">
        <v>148</v>
      </c>
      <c r="T101" s="8" t="s">
        <v>149</v>
      </c>
      <c r="U101" s="8" t="s">
        <v>150</v>
      </c>
      <c r="V101" s="8" t="s">
        <v>151</v>
      </c>
      <c r="W101" s="8" t="s">
        <v>152</v>
      </c>
      <c r="X101" s="8" t="s">
        <v>289</v>
      </c>
      <c r="Y101" s="8" t="s">
        <v>193</v>
      </c>
      <c r="Z101" s="8" t="s">
        <v>1642</v>
      </c>
      <c r="AA101" s="8" t="s">
        <v>141</v>
      </c>
      <c r="AB101" s="8"/>
      <c r="AC101" s="8" t="s">
        <v>1646</v>
      </c>
      <c r="AD101" s="8" t="s">
        <v>180</v>
      </c>
      <c r="AE101" s="8" t="s">
        <v>181</v>
      </c>
      <c r="AF101" s="8" t="s">
        <v>182</v>
      </c>
      <c r="AG101" s="8" t="s">
        <v>182</v>
      </c>
      <c r="AH101" s="8"/>
      <c r="AI101" s="8"/>
      <c r="AJ101" s="8" t="s">
        <v>1656</v>
      </c>
      <c r="AK101" s="8" t="s">
        <v>164</v>
      </c>
      <c r="AL101" s="8"/>
    </row>
    <row r="102" ht="15.75" customHeight="1">
      <c r="A102" s="7">
        <v>101.0</v>
      </c>
      <c r="B102" s="8" t="s">
        <v>1659</v>
      </c>
      <c r="C102" s="9" t="s">
        <v>409</v>
      </c>
      <c r="D102" s="8" t="s">
        <v>1371</v>
      </c>
      <c r="E102" s="8" t="s">
        <v>1536</v>
      </c>
      <c r="F102" s="10">
        <v>0.0</v>
      </c>
      <c r="G102" s="10">
        <f t="shared" si="1"/>
        <v>0</v>
      </c>
      <c r="H102" s="8" t="s">
        <v>1661</v>
      </c>
      <c r="I102" s="8" t="s">
        <v>1662</v>
      </c>
      <c r="J102" s="8" t="s">
        <v>141</v>
      </c>
      <c r="K102" s="8" t="s">
        <v>411</v>
      </c>
      <c r="L102" s="8"/>
      <c r="M102" s="8" t="s">
        <v>144</v>
      </c>
      <c r="N102" s="8" t="s">
        <v>145</v>
      </c>
      <c r="O102" s="8" t="s">
        <v>141</v>
      </c>
      <c r="P102" s="11">
        <v>0.9</v>
      </c>
      <c r="Q102" s="8" t="s">
        <v>412</v>
      </c>
      <c r="R102" s="8" t="s">
        <v>207</v>
      </c>
      <c r="S102" s="8" t="s">
        <v>148</v>
      </c>
      <c r="T102" s="8" t="s">
        <v>149</v>
      </c>
      <c r="U102" s="8" t="s">
        <v>148</v>
      </c>
      <c r="V102" s="8" t="s">
        <v>151</v>
      </c>
      <c r="W102" s="8" t="s">
        <v>152</v>
      </c>
      <c r="X102" s="8" t="s">
        <v>289</v>
      </c>
      <c r="Y102" s="8" t="s">
        <v>154</v>
      </c>
      <c r="Z102" s="8" t="s">
        <v>1663</v>
      </c>
      <c r="AA102" s="8" t="s">
        <v>141</v>
      </c>
      <c r="AB102" s="8"/>
      <c r="AC102" s="8" t="s">
        <v>1664</v>
      </c>
      <c r="AD102" s="8" t="s">
        <v>1302</v>
      </c>
      <c r="AE102" s="8" t="s">
        <v>1304</v>
      </c>
      <c r="AF102" s="8" t="s">
        <v>1665</v>
      </c>
      <c r="AG102" s="8" t="s">
        <v>1666</v>
      </c>
      <c r="AH102" s="8" t="s">
        <v>1436</v>
      </c>
      <c r="AI102" s="8" t="s">
        <v>1667</v>
      </c>
      <c r="AJ102" s="8" t="s">
        <v>1668</v>
      </c>
      <c r="AK102" s="8" t="s">
        <v>141</v>
      </c>
      <c r="AL102" s="8" t="s">
        <v>1669</v>
      </c>
    </row>
    <row r="103" ht="15.75" customHeight="1">
      <c r="A103" s="7">
        <v>102.0</v>
      </c>
      <c r="B103" s="8" t="s">
        <v>1670</v>
      </c>
      <c r="C103" s="9" t="s">
        <v>396</v>
      </c>
      <c r="D103" s="8" t="s">
        <v>1371</v>
      </c>
      <c r="E103" s="8" t="s">
        <v>1536</v>
      </c>
      <c r="F103" s="10">
        <v>0.0</v>
      </c>
      <c r="G103" s="10">
        <f t="shared" si="1"/>
        <v>0</v>
      </c>
      <c r="H103" s="8" t="s">
        <v>1671</v>
      </c>
      <c r="I103" s="8" t="s">
        <v>246</v>
      </c>
      <c r="J103" s="8" t="s">
        <v>141</v>
      </c>
      <c r="K103" s="8" t="s">
        <v>169</v>
      </c>
      <c r="L103" s="8" t="s">
        <v>1396</v>
      </c>
      <c r="M103" s="8" t="s">
        <v>144</v>
      </c>
      <c r="N103" s="8" t="s">
        <v>145</v>
      </c>
      <c r="O103" s="8" t="s">
        <v>141</v>
      </c>
      <c r="P103" s="11">
        <v>1.0</v>
      </c>
      <c r="Q103" s="8" t="s">
        <v>400</v>
      </c>
      <c r="R103" s="8" t="s">
        <v>207</v>
      </c>
      <c r="S103" s="8" t="s">
        <v>148</v>
      </c>
      <c r="T103" s="8" t="s">
        <v>149</v>
      </c>
      <c r="U103" s="8" t="s">
        <v>148</v>
      </c>
      <c r="V103" s="8" t="s">
        <v>151</v>
      </c>
      <c r="W103" s="8" t="s">
        <v>152</v>
      </c>
      <c r="X103" s="8" t="s">
        <v>289</v>
      </c>
      <c r="Y103" s="8" t="s">
        <v>154</v>
      </c>
      <c r="Z103" s="8" t="s">
        <v>1673</v>
      </c>
      <c r="AA103" s="8" t="s">
        <v>141</v>
      </c>
      <c r="AB103" s="8"/>
      <c r="AC103" s="8" t="s">
        <v>1674</v>
      </c>
      <c r="AD103" s="8" t="s">
        <v>180</v>
      </c>
      <c r="AE103" s="8" t="s">
        <v>181</v>
      </c>
      <c r="AF103" s="8" t="s">
        <v>182</v>
      </c>
      <c r="AG103" s="8" t="s">
        <v>1675</v>
      </c>
      <c r="AH103" s="8"/>
      <c r="AI103" s="8"/>
      <c r="AJ103" s="8" t="s">
        <v>1676</v>
      </c>
      <c r="AK103" s="8" t="s">
        <v>141</v>
      </c>
      <c r="AL103" s="8" t="s">
        <v>1677</v>
      </c>
    </row>
    <row r="104" ht="15.75" customHeight="1">
      <c r="A104" s="7">
        <v>103.0</v>
      </c>
      <c r="B104" s="8" t="s">
        <v>1678</v>
      </c>
      <c r="C104" s="9" t="s">
        <v>558</v>
      </c>
      <c r="D104" s="8" t="s">
        <v>1371</v>
      </c>
      <c r="E104" s="8" t="s">
        <v>1536</v>
      </c>
      <c r="F104" s="10">
        <v>0.0</v>
      </c>
      <c r="G104" s="10">
        <f t="shared" si="1"/>
        <v>0</v>
      </c>
      <c r="H104" s="8" t="s">
        <v>1679</v>
      </c>
      <c r="I104" s="8" t="s">
        <v>1680</v>
      </c>
      <c r="J104" s="8" t="s">
        <v>141</v>
      </c>
      <c r="K104" s="8" t="s">
        <v>259</v>
      </c>
      <c r="L104" s="8" t="s">
        <v>1396</v>
      </c>
      <c r="M104" s="8" t="s">
        <v>144</v>
      </c>
      <c r="N104" s="8" t="s">
        <v>145</v>
      </c>
      <c r="O104" s="8" t="s">
        <v>141</v>
      </c>
      <c r="P104" s="11">
        <v>0.5</v>
      </c>
      <c r="Q104" s="8" t="s">
        <v>560</v>
      </c>
      <c r="R104" s="8" t="s">
        <v>147</v>
      </c>
      <c r="S104" s="8" t="s">
        <v>148</v>
      </c>
      <c r="T104" s="8" t="s">
        <v>149</v>
      </c>
      <c r="U104" s="8" t="s">
        <v>150</v>
      </c>
      <c r="V104" s="8" t="s">
        <v>151</v>
      </c>
      <c r="W104" s="8" t="s">
        <v>152</v>
      </c>
      <c r="X104" s="8" t="s">
        <v>289</v>
      </c>
      <c r="Y104" s="8" t="s">
        <v>154</v>
      </c>
      <c r="Z104" s="8" t="s">
        <v>1682</v>
      </c>
      <c r="AA104" s="8" t="s">
        <v>141</v>
      </c>
      <c r="AB104" s="8"/>
      <c r="AC104" s="8" t="s">
        <v>280</v>
      </c>
      <c r="AD104" s="8" t="s">
        <v>180</v>
      </c>
      <c r="AE104" s="8" t="s">
        <v>181</v>
      </c>
      <c r="AF104" s="8" t="s">
        <v>182</v>
      </c>
      <c r="AG104" s="8" t="s">
        <v>182</v>
      </c>
      <c r="AH104" s="8"/>
      <c r="AI104" s="8"/>
      <c r="AJ104" s="8" t="s">
        <v>1683</v>
      </c>
      <c r="AK104" s="8" t="s">
        <v>164</v>
      </c>
      <c r="AL104" s="8"/>
    </row>
    <row r="105" ht="15.75" customHeight="1">
      <c r="A105" s="7">
        <v>104.0</v>
      </c>
      <c r="B105" s="8" t="s">
        <v>1684</v>
      </c>
      <c r="C105" s="9" t="s">
        <v>606</v>
      </c>
      <c r="D105" s="8" t="s">
        <v>137</v>
      </c>
      <c r="E105" s="8" t="s">
        <v>1685</v>
      </c>
      <c r="F105" s="10">
        <v>15.0</v>
      </c>
      <c r="G105" s="10">
        <f t="shared" si="1"/>
        <v>180</v>
      </c>
      <c r="H105" s="8" t="s">
        <v>1687</v>
      </c>
      <c r="I105" s="8" t="s">
        <v>1688</v>
      </c>
      <c r="J105" s="8" t="s">
        <v>221</v>
      </c>
      <c r="K105" s="8" t="s">
        <v>222</v>
      </c>
      <c r="L105" s="8" t="s">
        <v>1396</v>
      </c>
      <c r="M105" s="8" t="s">
        <v>144</v>
      </c>
      <c r="N105" s="8" t="s">
        <v>145</v>
      </c>
      <c r="O105" s="8" t="s">
        <v>141</v>
      </c>
      <c r="P105" s="11">
        <v>0.4</v>
      </c>
      <c r="Q105" s="8" t="s">
        <v>607</v>
      </c>
      <c r="R105" s="8" t="s">
        <v>147</v>
      </c>
      <c r="S105" s="8" t="s">
        <v>148</v>
      </c>
      <c r="T105" s="8" t="s">
        <v>149</v>
      </c>
      <c r="U105" s="8" t="s">
        <v>150</v>
      </c>
      <c r="V105" s="8" t="s">
        <v>151</v>
      </c>
      <c r="W105" s="8" t="s">
        <v>152</v>
      </c>
      <c r="X105" s="8" t="s">
        <v>289</v>
      </c>
      <c r="Y105" s="8" t="s">
        <v>154</v>
      </c>
      <c r="Z105" s="8" t="s">
        <v>1690</v>
      </c>
      <c r="AA105" s="8" t="s">
        <v>141</v>
      </c>
      <c r="AB105" s="8"/>
      <c r="AC105" s="8" t="s">
        <v>1691</v>
      </c>
      <c r="AD105" s="8" t="s">
        <v>1312</v>
      </c>
      <c r="AE105" s="8" t="s">
        <v>1313</v>
      </c>
      <c r="AF105" s="8" t="s">
        <v>1314</v>
      </c>
      <c r="AG105" s="8" t="s">
        <v>1692</v>
      </c>
      <c r="AH105" s="8" t="s">
        <v>1444</v>
      </c>
      <c r="AI105" s="8"/>
      <c r="AJ105" s="8" t="s">
        <v>1693</v>
      </c>
      <c r="AK105" s="8" t="s">
        <v>164</v>
      </c>
      <c r="AL105" s="8"/>
    </row>
    <row r="106" ht="15.75" customHeight="1">
      <c r="A106" s="7">
        <v>105.0</v>
      </c>
      <c r="B106" s="8" t="s">
        <v>1695</v>
      </c>
      <c r="C106" s="9" t="s">
        <v>648</v>
      </c>
      <c r="D106" s="8" t="s">
        <v>1371</v>
      </c>
      <c r="E106" s="8" t="s">
        <v>1536</v>
      </c>
      <c r="F106" s="10">
        <v>0.0</v>
      </c>
      <c r="G106" s="10">
        <f t="shared" si="1"/>
        <v>0</v>
      </c>
      <c r="H106" s="8" t="s">
        <v>1697</v>
      </c>
      <c r="I106" s="8" t="s">
        <v>1698</v>
      </c>
      <c r="J106" s="8" t="s">
        <v>221</v>
      </c>
      <c r="K106" s="8" t="s">
        <v>259</v>
      </c>
      <c r="L106" s="8" t="s">
        <v>1396</v>
      </c>
      <c r="M106" s="8" t="s">
        <v>144</v>
      </c>
      <c r="N106" s="8" t="s">
        <v>145</v>
      </c>
      <c r="O106" s="8" t="s">
        <v>141</v>
      </c>
      <c r="P106" s="11">
        <v>0.3</v>
      </c>
      <c r="Q106" s="8" t="s">
        <v>650</v>
      </c>
      <c r="R106" s="8" t="s">
        <v>147</v>
      </c>
      <c r="S106" s="8" t="s">
        <v>148</v>
      </c>
      <c r="T106" s="8" t="s">
        <v>149</v>
      </c>
      <c r="U106" s="8" t="s">
        <v>150</v>
      </c>
      <c r="V106" s="8" t="s">
        <v>151</v>
      </c>
      <c r="W106" s="8" t="s">
        <v>152</v>
      </c>
      <c r="X106" s="8" t="s">
        <v>289</v>
      </c>
      <c r="Y106" s="8" t="s">
        <v>193</v>
      </c>
      <c r="Z106" s="8" t="s">
        <v>1706</v>
      </c>
      <c r="AA106" s="8" t="s">
        <v>141</v>
      </c>
      <c r="AB106" s="8"/>
      <c r="AC106" s="8" t="s">
        <v>280</v>
      </c>
      <c r="AD106" s="8" t="s">
        <v>180</v>
      </c>
      <c r="AE106" s="8" t="s">
        <v>181</v>
      </c>
      <c r="AF106" s="8" t="s">
        <v>182</v>
      </c>
      <c r="AG106" s="8" t="s">
        <v>182</v>
      </c>
      <c r="AH106" s="8"/>
      <c r="AI106" s="8"/>
      <c r="AJ106" s="8" t="s">
        <v>1707</v>
      </c>
      <c r="AK106" s="8" t="s">
        <v>164</v>
      </c>
      <c r="AL106" s="8"/>
    </row>
    <row r="107" ht="15.75" customHeight="1">
      <c r="A107" s="7">
        <v>106.0</v>
      </c>
      <c r="B107" s="8" t="s">
        <v>1708</v>
      </c>
      <c r="C107" s="9" t="s">
        <v>413</v>
      </c>
      <c r="D107" s="8" t="s">
        <v>1371</v>
      </c>
      <c r="E107" s="8" t="s">
        <v>1536</v>
      </c>
      <c r="F107" s="10">
        <v>0.0</v>
      </c>
      <c r="G107" s="10">
        <f t="shared" si="1"/>
        <v>0</v>
      </c>
      <c r="H107" s="8" t="s">
        <v>1679</v>
      </c>
      <c r="I107" s="8" t="s">
        <v>1709</v>
      </c>
      <c r="J107" s="8" t="s">
        <v>141</v>
      </c>
      <c r="K107" s="8" t="s">
        <v>169</v>
      </c>
      <c r="L107" s="8" t="s">
        <v>1396</v>
      </c>
      <c r="M107" s="8" t="s">
        <v>144</v>
      </c>
      <c r="N107" s="8" t="s">
        <v>145</v>
      </c>
      <c r="O107" s="8" t="s">
        <v>141</v>
      </c>
      <c r="P107" s="11">
        <v>0.9</v>
      </c>
      <c r="Q107" s="8" t="s">
        <v>416</v>
      </c>
      <c r="R107" s="8" t="s">
        <v>207</v>
      </c>
      <c r="S107" s="8" t="s">
        <v>148</v>
      </c>
      <c r="T107" s="8" t="s">
        <v>149</v>
      </c>
      <c r="U107" s="8" t="s">
        <v>148</v>
      </c>
      <c r="V107" s="8" t="s">
        <v>151</v>
      </c>
      <c r="W107" s="8" t="s">
        <v>152</v>
      </c>
      <c r="X107" s="8" t="s">
        <v>289</v>
      </c>
      <c r="Y107" s="8" t="s">
        <v>154</v>
      </c>
      <c r="Z107" s="8" t="s">
        <v>1710</v>
      </c>
      <c r="AA107" s="8" t="s">
        <v>141</v>
      </c>
      <c r="AB107" s="8"/>
      <c r="AC107" s="8" t="s">
        <v>280</v>
      </c>
      <c r="AD107" s="8" t="s">
        <v>180</v>
      </c>
      <c r="AE107" s="8" t="s">
        <v>181</v>
      </c>
      <c r="AF107" s="8" t="s">
        <v>182</v>
      </c>
      <c r="AG107" s="8" t="s">
        <v>280</v>
      </c>
      <c r="AH107" s="8"/>
      <c r="AI107" s="8"/>
      <c r="AJ107" s="8" t="s">
        <v>1711</v>
      </c>
      <c r="AK107" s="8" t="s">
        <v>141</v>
      </c>
      <c r="AL107" s="8" t="s">
        <v>1712</v>
      </c>
    </row>
    <row r="108" ht="15.75" customHeight="1">
      <c r="A108" s="7">
        <v>107.0</v>
      </c>
      <c r="B108" s="8" t="s">
        <v>1713</v>
      </c>
      <c r="C108" s="9" t="s">
        <v>1714</v>
      </c>
      <c r="D108" s="8" t="s">
        <v>1371</v>
      </c>
      <c r="E108" s="8" t="s">
        <v>1536</v>
      </c>
      <c r="F108" s="10">
        <v>0.0</v>
      </c>
      <c r="G108" s="10">
        <f t="shared" si="1"/>
        <v>0</v>
      </c>
      <c r="H108" s="8"/>
      <c r="I108" s="8" t="s">
        <v>1049</v>
      </c>
      <c r="J108" s="8" t="s">
        <v>164</v>
      </c>
      <c r="K108" s="8"/>
      <c r="L108" s="8"/>
      <c r="M108" s="8" t="s">
        <v>261</v>
      </c>
      <c r="N108" s="8" t="s">
        <v>170</v>
      </c>
      <c r="O108" s="8" t="s">
        <v>164</v>
      </c>
      <c r="P108" s="11">
        <v>0.0</v>
      </c>
      <c r="Q108" s="8" t="s">
        <v>1715</v>
      </c>
      <c r="R108" s="8" t="s">
        <v>172</v>
      </c>
      <c r="S108" s="8" t="s">
        <v>474</v>
      </c>
      <c r="T108" s="8" t="s">
        <v>477</v>
      </c>
      <c r="U108" s="8" t="s">
        <v>474</v>
      </c>
      <c r="V108" s="8" t="s">
        <v>164</v>
      </c>
      <c r="W108" s="8"/>
      <c r="X108" s="8" t="s">
        <v>289</v>
      </c>
      <c r="Y108" s="8" t="s">
        <v>154</v>
      </c>
      <c r="Z108" s="8" t="s">
        <v>1716</v>
      </c>
      <c r="AA108" s="8" t="s">
        <v>141</v>
      </c>
      <c r="AB108" s="8"/>
      <c r="AC108" s="8" t="s">
        <v>1717</v>
      </c>
      <c r="AD108" s="8" t="s">
        <v>180</v>
      </c>
      <c r="AE108" s="8" t="s">
        <v>181</v>
      </c>
      <c r="AF108" s="8" t="s">
        <v>182</v>
      </c>
      <c r="AG108" s="8" t="s">
        <v>182</v>
      </c>
      <c r="AH108" s="8"/>
      <c r="AI108" s="8"/>
      <c r="AJ108" s="8" t="s">
        <v>1718</v>
      </c>
      <c r="AK108" s="8" t="s">
        <v>164</v>
      </c>
      <c r="AL108" s="8"/>
    </row>
    <row r="109" ht="15.75" customHeight="1">
      <c r="A109" s="7">
        <v>108.0</v>
      </c>
      <c r="B109" s="8" t="s">
        <v>1719</v>
      </c>
      <c r="C109" s="9" t="s">
        <v>608</v>
      </c>
      <c r="D109" s="8" t="s">
        <v>1371</v>
      </c>
      <c r="E109" s="8" t="s">
        <v>1536</v>
      </c>
      <c r="F109" s="10">
        <v>0.0</v>
      </c>
      <c r="G109" s="10">
        <f t="shared" si="1"/>
        <v>0</v>
      </c>
      <c r="H109" s="8"/>
      <c r="I109" s="8" t="s">
        <v>246</v>
      </c>
      <c r="J109" s="8" t="s">
        <v>141</v>
      </c>
      <c r="K109" s="8" t="s">
        <v>169</v>
      </c>
      <c r="L109" s="8" t="s">
        <v>1396</v>
      </c>
      <c r="M109" s="8" t="s">
        <v>144</v>
      </c>
      <c r="N109" s="8" t="s">
        <v>145</v>
      </c>
      <c r="O109" s="8" t="s">
        <v>141</v>
      </c>
      <c r="P109" s="11">
        <v>0.4</v>
      </c>
      <c r="Q109" s="8" t="s">
        <v>609</v>
      </c>
      <c r="R109" s="8" t="s">
        <v>147</v>
      </c>
      <c r="S109" s="8" t="s">
        <v>148</v>
      </c>
      <c r="T109" s="8" t="s">
        <v>149</v>
      </c>
      <c r="U109" s="8" t="s">
        <v>150</v>
      </c>
      <c r="V109" s="8" t="s">
        <v>151</v>
      </c>
      <c r="W109" s="8" t="s">
        <v>152</v>
      </c>
      <c r="X109" s="8" t="s">
        <v>289</v>
      </c>
      <c r="Y109" s="8" t="s">
        <v>193</v>
      </c>
      <c r="Z109" s="8" t="s">
        <v>1720</v>
      </c>
      <c r="AA109" s="8" t="s">
        <v>141</v>
      </c>
      <c r="AB109" s="8"/>
      <c r="AC109" s="8" t="s">
        <v>280</v>
      </c>
      <c r="AD109" s="8" t="s">
        <v>180</v>
      </c>
      <c r="AE109" s="8" t="s">
        <v>181</v>
      </c>
      <c r="AF109" s="8" t="s">
        <v>182</v>
      </c>
      <c r="AG109" s="8" t="s">
        <v>182</v>
      </c>
      <c r="AH109" s="8"/>
      <c r="AI109" s="8"/>
      <c r="AJ109" s="8" t="s">
        <v>1721</v>
      </c>
      <c r="AK109" s="8" t="s">
        <v>164</v>
      </c>
      <c r="AL109" s="8"/>
    </row>
    <row r="110" ht="15.75" customHeight="1">
      <c r="A110" s="7">
        <v>109.0</v>
      </c>
      <c r="B110" s="8" t="s">
        <v>1722</v>
      </c>
      <c r="C110" s="9" t="s">
        <v>417</v>
      </c>
      <c r="D110" s="8" t="s">
        <v>1371</v>
      </c>
      <c r="E110" s="8" t="s">
        <v>1536</v>
      </c>
      <c r="F110" s="10">
        <v>0.0</v>
      </c>
      <c r="G110" s="10">
        <f t="shared" si="1"/>
        <v>0</v>
      </c>
      <c r="H110" s="8"/>
      <c r="I110" s="8"/>
      <c r="J110" s="8" t="s">
        <v>141</v>
      </c>
      <c r="K110" s="8" t="s">
        <v>387</v>
      </c>
      <c r="L110" s="8" t="s">
        <v>1225</v>
      </c>
      <c r="M110" s="8" t="s">
        <v>144</v>
      </c>
      <c r="N110" s="8" t="s">
        <v>145</v>
      </c>
      <c r="O110" s="8" t="s">
        <v>141</v>
      </c>
      <c r="P110" s="11">
        <v>0.9</v>
      </c>
      <c r="Q110" s="8" t="s">
        <v>421</v>
      </c>
      <c r="R110" s="8" t="s">
        <v>207</v>
      </c>
      <c r="S110" s="8" t="s">
        <v>148</v>
      </c>
      <c r="T110" s="8" t="s">
        <v>149</v>
      </c>
      <c r="U110" s="8" t="s">
        <v>148</v>
      </c>
      <c r="V110" s="8" t="s">
        <v>151</v>
      </c>
      <c r="W110" s="8" t="s">
        <v>152</v>
      </c>
      <c r="X110" s="8" t="s">
        <v>289</v>
      </c>
      <c r="Y110" s="8" t="s">
        <v>154</v>
      </c>
      <c r="Z110" s="8" t="s">
        <v>1723</v>
      </c>
      <c r="AA110" s="8" t="s">
        <v>141</v>
      </c>
      <c r="AB110" s="8"/>
      <c r="AC110" s="8" t="s">
        <v>1724</v>
      </c>
      <c r="AD110" s="8" t="s">
        <v>750</v>
      </c>
      <c r="AE110" s="8" t="s">
        <v>751</v>
      </c>
      <c r="AF110" s="8" t="s">
        <v>1725</v>
      </c>
      <c r="AG110" s="8" t="s">
        <v>1726</v>
      </c>
      <c r="AH110" s="8"/>
      <c r="AI110" s="8"/>
      <c r="AJ110" s="8" t="s">
        <v>1727</v>
      </c>
      <c r="AK110" s="8" t="s">
        <v>141</v>
      </c>
      <c r="AL110" s="8" t="s">
        <v>1728</v>
      </c>
    </row>
    <row r="111" ht="15.75" customHeight="1">
      <c r="A111" s="7">
        <v>110.0</v>
      </c>
      <c r="B111" s="8" t="s">
        <v>1729</v>
      </c>
      <c r="C111" s="9" t="s">
        <v>563</v>
      </c>
      <c r="D111" s="8" t="s">
        <v>1371</v>
      </c>
      <c r="E111" s="8" t="s">
        <v>1536</v>
      </c>
      <c r="F111" s="10">
        <v>0.0</v>
      </c>
      <c r="G111" s="10">
        <f t="shared" si="1"/>
        <v>0</v>
      </c>
      <c r="H111" s="8"/>
      <c r="I111" s="8"/>
      <c r="J111" s="8" t="s">
        <v>141</v>
      </c>
      <c r="K111" s="8" t="s">
        <v>222</v>
      </c>
      <c r="L111" s="8" t="s">
        <v>1225</v>
      </c>
      <c r="M111" s="8" t="s">
        <v>144</v>
      </c>
      <c r="N111" s="8" t="s">
        <v>145</v>
      </c>
      <c r="O111" s="8" t="s">
        <v>141</v>
      </c>
      <c r="P111" s="11">
        <v>0.5</v>
      </c>
      <c r="Q111" s="8" t="s">
        <v>566</v>
      </c>
      <c r="R111" s="8" t="s">
        <v>147</v>
      </c>
      <c r="S111" s="8" t="s">
        <v>148</v>
      </c>
      <c r="T111" s="8" t="s">
        <v>149</v>
      </c>
      <c r="U111" s="8" t="s">
        <v>150</v>
      </c>
      <c r="V111" s="8" t="s">
        <v>151</v>
      </c>
      <c r="W111" s="8" t="s">
        <v>333</v>
      </c>
      <c r="X111" s="8" t="s">
        <v>289</v>
      </c>
      <c r="Y111" s="8" t="s">
        <v>193</v>
      </c>
      <c r="Z111" s="8" t="s">
        <v>1730</v>
      </c>
      <c r="AA111" s="8" t="s">
        <v>141</v>
      </c>
      <c r="AB111" s="8"/>
      <c r="AC111" s="8" t="s">
        <v>280</v>
      </c>
      <c r="AD111" s="8" t="s">
        <v>180</v>
      </c>
      <c r="AE111" s="8" t="s">
        <v>181</v>
      </c>
      <c r="AF111" s="8" t="s">
        <v>182</v>
      </c>
      <c r="AG111" s="8" t="s">
        <v>182</v>
      </c>
      <c r="AH111" s="8"/>
      <c r="AI111" s="8"/>
      <c r="AJ111" s="8" t="s">
        <v>1731</v>
      </c>
      <c r="AK111" s="8" t="s">
        <v>164</v>
      </c>
      <c r="AL111" s="8"/>
    </row>
    <row r="112" ht="15.75" customHeight="1">
      <c r="A112" s="7">
        <v>111.0</v>
      </c>
      <c r="B112" s="8" t="s">
        <v>1732</v>
      </c>
      <c r="C112" s="9" t="s">
        <v>567</v>
      </c>
      <c r="D112" s="8" t="s">
        <v>1371</v>
      </c>
      <c r="E112" s="8" t="s">
        <v>1536</v>
      </c>
      <c r="F112" s="10">
        <v>0.0</v>
      </c>
      <c r="G112" s="10">
        <f t="shared" si="1"/>
        <v>0</v>
      </c>
      <c r="H112" s="8"/>
      <c r="I112" s="8"/>
      <c r="J112" s="8" t="s">
        <v>141</v>
      </c>
      <c r="K112" s="8" t="s">
        <v>387</v>
      </c>
      <c r="L112" s="8" t="s">
        <v>1225</v>
      </c>
      <c r="M112" s="8" t="s">
        <v>144</v>
      </c>
      <c r="N112" s="8" t="s">
        <v>145</v>
      </c>
      <c r="O112" s="8" t="s">
        <v>141</v>
      </c>
      <c r="P112" s="11">
        <v>0.5</v>
      </c>
      <c r="Q112" s="8" t="s">
        <v>569</v>
      </c>
      <c r="R112" s="8" t="s">
        <v>147</v>
      </c>
      <c r="S112" s="8" t="s">
        <v>148</v>
      </c>
      <c r="T112" s="8" t="s">
        <v>149</v>
      </c>
      <c r="U112" s="8" t="s">
        <v>150</v>
      </c>
      <c r="V112" s="8" t="s">
        <v>151</v>
      </c>
      <c r="W112" s="8" t="s">
        <v>152</v>
      </c>
      <c r="X112" s="8" t="s">
        <v>289</v>
      </c>
      <c r="Y112" s="8" t="s">
        <v>193</v>
      </c>
      <c r="Z112" s="8" t="s">
        <v>1733</v>
      </c>
      <c r="AA112" s="8" t="s">
        <v>141</v>
      </c>
      <c r="AB112" s="8"/>
      <c r="AC112" s="8" t="s">
        <v>280</v>
      </c>
      <c r="AD112" s="8" t="s">
        <v>180</v>
      </c>
      <c r="AE112" s="8" t="s">
        <v>181</v>
      </c>
      <c r="AF112" s="8" t="s">
        <v>182</v>
      </c>
      <c r="AG112" s="8" t="s">
        <v>182</v>
      </c>
      <c r="AH112" s="8"/>
      <c r="AI112" s="8"/>
      <c r="AJ112" s="8" t="s">
        <v>1731</v>
      </c>
      <c r="AK112" s="8" t="s">
        <v>164</v>
      </c>
      <c r="AL112" s="8"/>
    </row>
    <row r="113" ht="15.75" customHeight="1">
      <c r="A113" s="7">
        <v>112.0</v>
      </c>
      <c r="B113" s="8" t="s">
        <v>1734</v>
      </c>
      <c r="C113" s="9" t="s">
        <v>423</v>
      </c>
      <c r="D113" s="8" t="s">
        <v>1371</v>
      </c>
      <c r="E113" s="8" t="s">
        <v>1536</v>
      </c>
      <c r="F113" s="10">
        <v>0.0</v>
      </c>
      <c r="G113" s="10">
        <f t="shared" si="1"/>
        <v>0</v>
      </c>
      <c r="H113" s="8"/>
      <c r="I113" s="8" t="s">
        <v>1735</v>
      </c>
      <c r="J113" s="8" t="s">
        <v>141</v>
      </c>
      <c r="K113" s="8" t="s">
        <v>424</v>
      </c>
      <c r="L113" s="8" t="s">
        <v>1396</v>
      </c>
      <c r="M113" s="8" t="s">
        <v>144</v>
      </c>
      <c r="N113" s="8" t="s">
        <v>145</v>
      </c>
      <c r="O113" s="8" t="s">
        <v>141</v>
      </c>
      <c r="P113" s="11">
        <v>0.9</v>
      </c>
      <c r="Q113" s="8" t="s">
        <v>426</v>
      </c>
      <c r="R113" s="8" t="s">
        <v>207</v>
      </c>
      <c r="S113" s="8" t="s">
        <v>148</v>
      </c>
      <c r="T113" s="8" t="s">
        <v>149</v>
      </c>
      <c r="U113" s="8" t="s">
        <v>148</v>
      </c>
      <c r="V113" s="8" t="s">
        <v>393</v>
      </c>
      <c r="W113" s="8" t="s">
        <v>152</v>
      </c>
      <c r="X113" s="8" t="s">
        <v>289</v>
      </c>
      <c r="Y113" s="8" t="s">
        <v>589</v>
      </c>
      <c r="Z113" s="8" t="s">
        <v>1736</v>
      </c>
      <c r="AA113" s="8" t="s">
        <v>141</v>
      </c>
      <c r="AB113" s="8"/>
      <c r="AC113" s="8" t="s">
        <v>1737</v>
      </c>
      <c r="AD113" s="8" t="s">
        <v>180</v>
      </c>
      <c r="AE113" s="8" t="s">
        <v>181</v>
      </c>
      <c r="AF113" s="8" t="s">
        <v>1738</v>
      </c>
      <c r="AG113" s="8" t="s">
        <v>1739</v>
      </c>
      <c r="AH113" s="8"/>
      <c r="AI113" s="8"/>
      <c r="AJ113" s="8" t="s">
        <v>1740</v>
      </c>
      <c r="AK113" s="8" t="s">
        <v>141</v>
      </c>
      <c r="AL113" s="8" t="s">
        <v>1741</v>
      </c>
    </row>
    <row r="114" ht="15.75" customHeight="1">
      <c r="A114" s="7">
        <v>113.0</v>
      </c>
      <c r="B114" s="8" t="s">
        <v>1742</v>
      </c>
      <c r="C114" s="9" t="s">
        <v>511</v>
      </c>
      <c r="D114" s="8" t="s">
        <v>1371</v>
      </c>
      <c r="E114" s="8" t="s">
        <v>1536</v>
      </c>
      <c r="F114" s="10">
        <v>0.0</v>
      </c>
      <c r="G114" s="10">
        <f t="shared" si="1"/>
        <v>0</v>
      </c>
      <c r="H114" s="8"/>
      <c r="I114" s="8"/>
      <c r="J114" s="8" t="s">
        <v>141</v>
      </c>
      <c r="K114" s="8" t="s">
        <v>1743</v>
      </c>
      <c r="L114" s="8" t="s">
        <v>1225</v>
      </c>
      <c r="M114" s="8" t="s">
        <v>144</v>
      </c>
      <c r="N114" s="8" t="s">
        <v>145</v>
      </c>
      <c r="O114" s="8" t="s">
        <v>141</v>
      </c>
      <c r="P114" s="11">
        <v>0.7</v>
      </c>
      <c r="Q114" s="8" t="s">
        <v>512</v>
      </c>
      <c r="R114" s="8" t="s">
        <v>147</v>
      </c>
      <c r="S114" s="8" t="s">
        <v>148</v>
      </c>
      <c r="T114" s="8" t="s">
        <v>149</v>
      </c>
      <c r="U114" s="8" t="s">
        <v>150</v>
      </c>
      <c r="V114" s="8" t="s">
        <v>393</v>
      </c>
      <c r="W114" s="8" t="s">
        <v>333</v>
      </c>
      <c r="X114" s="8" t="s">
        <v>289</v>
      </c>
      <c r="Y114" s="8" t="s">
        <v>154</v>
      </c>
      <c r="Z114" s="8" t="s">
        <v>1744</v>
      </c>
      <c r="AA114" s="8" t="s">
        <v>141</v>
      </c>
      <c r="AB114" s="8"/>
      <c r="AC114" s="8" t="s">
        <v>1745</v>
      </c>
      <c r="AD114" s="8" t="s">
        <v>180</v>
      </c>
      <c r="AE114" s="8" t="s">
        <v>181</v>
      </c>
      <c r="AF114" s="8" t="s">
        <v>1738</v>
      </c>
      <c r="AG114" s="8" t="s">
        <v>1746</v>
      </c>
      <c r="AH114" s="8"/>
      <c r="AI114" s="8"/>
      <c r="AJ114" s="8" t="s">
        <v>1747</v>
      </c>
      <c r="AK114" s="8" t="s">
        <v>141</v>
      </c>
      <c r="AL114" s="8" t="s">
        <v>1748</v>
      </c>
    </row>
    <row r="115" ht="15.75" customHeight="1">
      <c r="A115" s="7">
        <v>114.0</v>
      </c>
      <c r="B115" s="8" t="s">
        <v>1749</v>
      </c>
      <c r="C115" s="9" t="s">
        <v>454</v>
      </c>
      <c r="D115" s="8" t="s">
        <v>1371</v>
      </c>
      <c r="E115" s="8" t="s">
        <v>1536</v>
      </c>
      <c r="F115" s="10">
        <v>0.0</v>
      </c>
      <c r="G115" s="10">
        <f t="shared" si="1"/>
        <v>0</v>
      </c>
      <c r="H115" s="8"/>
      <c r="I115" s="8" t="s">
        <v>504</v>
      </c>
      <c r="J115" s="8" t="s">
        <v>141</v>
      </c>
      <c r="K115" s="8" t="s">
        <v>457</v>
      </c>
      <c r="L115" s="8" t="s">
        <v>1225</v>
      </c>
      <c r="M115" s="8" t="s">
        <v>144</v>
      </c>
      <c r="N115" s="8" t="s">
        <v>145</v>
      </c>
      <c r="O115" s="8" t="s">
        <v>141</v>
      </c>
      <c r="P115" s="11">
        <v>0.8</v>
      </c>
      <c r="Q115" s="8" t="s">
        <v>458</v>
      </c>
      <c r="R115" s="8" t="s">
        <v>207</v>
      </c>
      <c r="S115" s="8" t="s">
        <v>148</v>
      </c>
      <c r="T115" s="8" t="s">
        <v>149</v>
      </c>
      <c r="U115" s="8" t="s">
        <v>148</v>
      </c>
      <c r="V115" s="8" t="s">
        <v>393</v>
      </c>
      <c r="W115" s="8" t="s">
        <v>152</v>
      </c>
      <c r="X115" s="8" t="s">
        <v>289</v>
      </c>
      <c r="Y115" s="8" t="s">
        <v>154</v>
      </c>
      <c r="Z115" s="8" t="s">
        <v>1750</v>
      </c>
      <c r="AA115" s="8" t="s">
        <v>141</v>
      </c>
      <c r="AB115" s="8"/>
      <c r="AC115" s="8" t="s">
        <v>280</v>
      </c>
      <c r="AD115" s="8" t="s">
        <v>1302</v>
      </c>
      <c r="AE115" s="8" t="s">
        <v>1304</v>
      </c>
      <c r="AF115" s="8" t="s">
        <v>1751</v>
      </c>
      <c r="AG115" s="8" t="s">
        <v>1752</v>
      </c>
      <c r="AH115" s="8"/>
      <c r="AI115" s="8"/>
      <c r="AJ115" s="8" t="s">
        <v>1753</v>
      </c>
      <c r="AK115" s="8" t="s">
        <v>141</v>
      </c>
      <c r="AL115" s="8" t="s">
        <v>1754</v>
      </c>
    </row>
    <row r="116" ht="15.75" customHeight="1">
      <c r="A116" s="7">
        <v>115.0</v>
      </c>
      <c r="B116" s="8" t="s">
        <v>1755</v>
      </c>
      <c r="C116" s="9" t="s">
        <v>681</v>
      </c>
      <c r="D116" s="8" t="s">
        <v>1371</v>
      </c>
      <c r="E116" s="8" t="s">
        <v>1536</v>
      </c>
      <c r="F116" s="10">
        <v>0.0</v>
      </c>
      <c r="G116" s="10">
        <f t="shared" si="1"/>
        <v>0</v>
      </c>
      <c r="H116" s="8"/>
      <c r="I116" s="8"/>
      <c r="J116" s="8" t="s">
        <v>141</v>
      </c>
      <c r="K116" s="8" t="s">
        <v>769</v>
      </c>
      <c r="L116" s="8"/>
      <c r="M116" s="8" t="s">
        <v>144</v>
      </c>
      <c r="N116" s="8" t="s">
        <v>145</v>
      </c>
      <c r="O116" s="8" t="s">
        <v>141</v>
      </c>
      <c r="P116" s="11">
        <v>0.2</v>
      </c>
      <c r="Q116" s="8" t="s">
        <v>682</v>
      </c>
      <c r="R116" s="8" t="s">
        <v>147</v>
      </c>
      <c r="S116" s="8" t="s">
        <v>148</v>
      </c>
      <c r="T116" s="8" t="s">
        <v>149</v>
      </c>
      <c r="U116" s="8" t="s">
        <v>150</v>
      </c>
      <c r="V116" s="8" t="s">
        <v>164</v>
      </c>
      <c r="W116" s="8" t="s">
        <v>152</v>
      </c>
      <c r="X116" s="8" t="s">
        <v>289</v>
      </c>
      <c r="Y116" s="8" t="s">
        <v>193</v>
      </c>
      <c r="Z116" s="8" t="s">
        <v>1756</v>
      </c>
      <c r="AA116" s="8" t="s">
        <v>141</v>
      </c>
      <c r="AB116" s="8"/>
      <c r="AC116" s="8" t="s">
        <v>1757</v>
      </c>
      <c r="AD116" s="8" t="s">
        <v>180</v>
      </c>
      <c r="AE116" s="8" t="s">
        <v>181</v>
      </c>
      <c r="AF116" s="8" t="s">
        <v>182</v>
      </c>
      <c r="AG116" s="8" t="s">
        <v>182</v>
      </c>
      <c r="AH116" s="8"/>
      <c r="AI116" s="8"/>
      <c r="AJ116" s="8" t="s">
        <v>1758</v>
      </c>
      <c r="AK116" s="8" t="s">
        <v>141</v>
      </c>
      <c r="AL116" s="8" t="s">
        <v>1759</v>
      </c>
    </row>
    <row r="117" ht="15.75" customHeight="1">
      <c r="A117" s="7">
        <v>116.0</v>
      </c>
      <c r="B117" s="8" t="s">
        <v>1760</v>
      </c>
      <c r="C117" s="9" t="s">
        <v>1761</v>
      </c>
      <c r="D117" s="8" t="s">
        <v>1371</v>
      </c>
      <c r="E117" s="8" t="s">
        <v>1536</v>
      </c>
      <c r="F117" s="10">
        <v>0.0</v>
      </c>
      <c r="G117" s="10">
        <f t="shared" si="1"/>
        <v>0</v>
      </c>
      <c r="H117" s="8"/>
      <c r="I117" s="8"/>
      <c r="J117" s="8" t="s">
        <v>164</v>
      </c>
      <c r="K117" s="8"/>
      <c r="L117" s="8"/>
      <c r="M117" s="8" t="s">
        <v>144</v>
      </c>
      <c r="N117" s="8" t="s">
        <v>170</v>
      </c>
      <c r="O117" s="8" t="s">
        <v>164</v>
      </c>
      <c r="P117" s="11">
        <v>0.0</v>
      </c>
      <c r="Q117" s="8" t="s">
        <v>1762</v>
      </c>
      <c r="R117" s="8" t="s">
        <v>172</v>
      </c>
      <c r="S117" s="8" t="s">
        <v>474</v>
      </c>
      <c r="T117" s="8" t="s">
        <v>477</v>
      </c>
      <c r="U117" s="8" t="s">
        <v>474</v>
      </c>
      <c r="V117" s="8" t="s">
        <v>164</v>
      </c>
      <c r="W117" s="8"/>
      <c r="X117" s="8" t="s">
        <v>289</v>
      </c>
      <c r="Y117" s="8" t="s">
        <v>193</v>
      </c>
      <c r="Z117" s="8" t="s">
        <v>1763</v>
      </c>
      <c r="AA117" s="8" t="s">
        <v>141</v>
      </c>
      <c r="AB117" s="8"/>
      <c r="AC117" s="8" t="s">
        <v>1764</v>
      </c>
      <c r="AD117" s="8" t="s">
        <v>180</v>
      </c>
      <c r="AE117" s="8" t="s">
        <v>181</v>
      </c>
      <c r="AF117" s="8" t="s">
        <v>182</v>
      </c>
      <c r="AG117" s="8" t="s">
        <v>182</v>
      </c>
      <c r="AH117" s="8"/>
      <c r="AI117" s="8"/>
      <c r="AJ117" s="8" t="s">
        <v>1765</v>
      </c>
      <c r="AK117" s="8" t="s">
        <v>164</v>
      </c>
      <c r="AL117" s="8"/>
    </row>
    <row r="118" ht="15.75" customHeight="1">
      <c r="A118" s="7">
        <v>117.0</v>
      </c>
      <c r="B118" s="8" t="s">
        <v>1766</v>
      </c>
      <c r="C118" s="9" t="s">
        <v>572</v>
      </c>
      <c r="D118" s="8" t="s">
        <v>1371</v>
      </c>
      <c r="E118" s="8" t="s">
        <v>1536</v>
      </c>
      <c r="F118" s="10">
        <v>0.0</v>
      </c>
      <c r="G118" s="10">
        <f t="shared" si="1"/>
        <v>0</v>
      </c>
      <c r="H118" s="8"/>
      <c r="I118" s="8" t="s">
        <v>1767</v>
      </c>
      <c r="J118" s="8" t="s">
        <v>141</v>
      </c>
      <c r="K118" s="8" t="s">
        <v>387</v>
      </c>
      <c r="L118" s="8" t="s">
        <v>1396</v>
      </c>
      <c r="M118" s="8" t="s">
        <v>144</v>
      </c>
      <c r="N118" s="8" t="s">
        <v>145</v>
      </c>
      <c r="O118" s="8" t="s">
        <v>141</v>
      </c>
      <c r="P118" s="11">
        <v>0.5</v>
      </c>
      <c r="Q118" s="8" t="s">
        <v>574</v>
      </c>
      <c r="R118" s="8" t="s">
        <v>147</v>
      </c>
      <c r="S118" s="8" t="s">
        <v>148</v>
      </c>
      <c r="T118" s="8" t="s">
        <v>149</v>
      </c>
      <c r="U118" s="8" t="s">
        <v>150</v>
      </c>
      <c r="V118" s="8" t="s">
        <v>151</v>
      </c>
      <c r="W118" s="8" t="s">
        <v>152</v>
      </c>
      <c r="X118" s="8" t="s">
        <v>289</v>
      </c>
      <c r="Y118" s="8" t="s">
        <v>154</v>
      </c>
      <c r="Z118" s="8" t="s">
        <v>1768</v>
      </c>
      <c r="AA118" s="8" t="s">
        <v>141</v>
      </c>
      <c r="AB118" s="8"/>
      <c r="AC118" s="8" t="s">
        <v>1769</v>
      </c>
      <c r="AD118" s="8" t="s">
        <v>252</v>
      </c>
      <c r="AE118" s="8" t="s">
        <v>181</v>
      </c>
      <c r="AF118" s="8" t="s">
        <v>253</v>
      </c>
      <c r="AG118" s="8" t="s">
        <v>182</v>
      </c>
      <c r="AH118" s="8" t="s">
        <v>1451</v>
      </c>
      <c r="AI118" s="8"/>
      <c r="AJ118" s="8" t="s">
        <v>1770</v>
      </c>
      <c r="AK118" s="8" t="s">
        <v>141</v>
      </c>
      <c r="AL118" s="8" t="s">
        <v>1771</v>
      </c>
    </row>
    <row r="119" ht="15.75" customHeight="1">
      <c r="A119" s="7">
        <v>118.0</v>
      </c>
      <c r="B119" s="8" t="s">
        <v>1772</v>
      </c>
      <c r="C119" s="9" t="s">
        <v>1773</v>
      </c>
      <c r="D119" s="8" t="s">
        <v>137</v>
      </c>
      <c r="E119" s="8" t="s">
        <v>1559</v>
      </c>
      <c r="F119" s="10">
        <v>30.0</v>
      </c>
      <c r="G119" s="10">
        <f t="shared" si="1"/>
        <v>360</v>
      </c>
      <c r="H119" s="8"/>
      <c r="I119" s="8" t="s">
        <v>1774</v>
      </c>
      <c r="J119" s="8" t="s">
        <v>141</v>
      </c>
      <c r="K119" s="8" t="s">
        <v>1775</v>
      </c>
      <c r="L119" s="8"/>
      <c r="M119" s="8" t="s">
        <v>144</v>
      </c>
      <c r="N119" s="8" t="s">
        <v>145</v>
      </c>
      <c r="O119" s="8" t="s">
        <v>141</v>
      </c>
      <c r="P119" s="11">
        <v>0.0</v>
      </c>
      <c r="Q119" s="8" t="s">
        <v>1776</v>
      </c>
      <c r="R119" s="8" t="s">
        <v>172</v>
      </c>
      <c r="S119" s="8" t="s">
        <v>173</v>
      </c>
      <c r="T119" s="8" t="s">
        <v>174</v>
      </c>
      <c r="U119" s="8" t="s">
        <v>173</v>
      </c>
      <c r="V119" s="8" t="s">
        <v>164</v>
      </c>
      <c r="W119" s="8"/>
      <c r="X119" s="8" t="s">
        <v>289</v>
      </c>
      <c r="Y119" s="8" t="s">
        <v>249</v>
      </c>
      <c r="Z119" s="8" t="s">
        <v>1777</v>
      </c>
      <c r="AA119" s="8" t="s">
        <v>164</v>
      </c>
      <c r="AB119" s="8" t="s">
        <v>178</v>
      </c>
      <c r="AC119" s="8" t="s">
        <v>1778</v>
      </c>
      <c r="AD119" s="8" t="s">
        <v>180</v>
      </c>
      <c r="AE119" s="8" t="s">
        <v>181</v>
      </c>
      <c r="AF119" s="8" t="s">
        <v>182</v>
      </c>
      <c r="AG119" s="8" t="s">
        <v>182</v>
      </c>
      <c r="AH119" s="8"/>
      <c r="AI119" s="8"/>
      <c r="AJ119" s="8" t="s">
        <v>1779</v>
      </c>
      <c r="AK119" s="8" t="s">
        <v>141</v>
      </c>
      <c r="AL119" s="8" t="s">
        <v>1780</v>
      </c>
    </row>
    <row r="120" ht="15.75" customHeight="1">
      <c r="A120" s="7">
        <v>119.0</v>
      </c>
      <c r="B120" s="8" t="s">
        <v>1781</v>
      </c>
      <c r="C120" s="9" t="s">
        <v>69</v>
      </c>
      <c r="D120" s="8" t="s">
        <v>137</v>
      </c>
      <c r="E120" s="8" t="s">
        <v>1559</v>
      </c>
      <c r="F120" s="10">
        <v>15.0</v>
      </c>
      <c r="G120" s="10">
        <f t="shared" si="1"/>
        <v>180</v>
      </c>
      <c r="H120" s="8" t="s">
        <v>1782</v>
      </c>
      <c r="I120" s="8" t="s">
        <v>315</v>
      </c>
      <c r="J120" s="8" t="s">
        <v>141</v>
      </c>
      <c r="K120" s="8" t="s">
        <v>316</v>
      </c>
      <c r="L120" s="8" t="s">
        <v>1396</v>
      </c>
      <c r="M120" s="8" t="s">
        <v>144</v>
      </c>
      <c r="N120" s="8" t="s">
        <v>145</v>
      </c>
      <c r="O120" s="8" t="s">
        <v>141</v>
      </c>
      <c r="P120" s="11">
        <v>0.5</v>
      </c>
      <c r="Q120" s="8" t="s">
        <v>579</v>
      </c>
      <c r="R120" s="8" t="s">
        <v>147</v>
      </c>
      <c r="S120" s="8" t="s">
        <v>148</v>
      </c>
      <c r="T120" s="8" t="s">
        <v>149</v>
      </c>
      <c r="U120" s="8" t="s">
        <v>150</v>
      </c>
      <c r="V120" s="8" t="s">
        <v>151</v>
      </c>
      <c r="W120" s="8" t="s">
        <v>152</v>
      </c>
      <c r="X120" s="8" t="s">
        <v>289</v>
      </c>
      <c r="Y120" s="8" t="s">
        <v>154</v>
      </c>
      <c r="Z120" s="8" t="s">
        <v>1783</v>
      </c>
      <c r="AA120" s="8" t="s">
        <v>141</v>
      </c>
      <c r="AB120" s="8"/>
      <c r="AC120" s="8" t="s">
        <v>280</v>
      </c>
      <c r="AD120" s="8" t="s">
        <v>1312</v>
      </c>
      <c r="AE120" s="8" t="s">
        <v>1313</v>
      </c>
      <c r="AF120" s="8" t="s">
        <v>1314</v>
      </c>
      <c r="AG120" s="8" t="s">
        <v>1784</v>
      </c>
      <c r="AH120" s="8"/>
      <c r="AI120" s="8"/>
      <c r="AJ120" s="8" t="s">
        <v>1785</v>
      </c>
      <c r="AK120" s="8" t="s">
        <v>141</v>
      </c>
      <c r="AL120" s="8" t="s">
        <v>1786</v>
      </c>
    </row>
    <row r="121" ht="15.75" customHeight="1">
      <c r="A121" s="7">
        <v>120.0</v>
      </c>
      <c r="B121" s="8" t="s">
        <v>1787</v>
      </c>
      <c r="C121" s="9" t="s">
        <v>652</v>
      </c>
      <c r="D121" s="8" t="s">
        <v>137</v>
      </c>
      <c r="E121" s="8" t="s">
        <v>1559</v>
      </c>
      <c r="F121" s="10">
        <v>9.0</v>
      </c>
      <c r="G121" s="10">
        <f t="shared" si="1"/>
        <v>108</v>
      </c>
      <c r="H121" s="8" t="s">
        <v>167</v>
      </c>
      <c r="I121" s="8" t="s">
        <v>1788</v>
      </c>
      <c r="J121" s="8" t="s">
        <v>141</v>
      </c>
      <c r="K121" s="8" t="s">
        <v>1789</v>
      </c>
      <c r="L121" s="8"/>
      <c r="M121" s="8" t="s">
        <v>144</v>
      </c>
      <c r="N121" s="8" t="s">
        <v>145</v>
      </c>
      <c r="O121" s="8" t="s">
        <v>141</v>
      </c>
      <c r="P121" s="11">
        <v>0.3</v>
      </c>
      <c r="Q121" s="8" t="s">
        <v>655</v>
      </c>
      <c r="R121" s="8" t="s">
        <v>147</v>
      </c>
      <c r="S121" s="8" t="s">
        <v>148</v>
      </c>
      <c r="T121" s="8" t="s">
        <v>149</v>
      </c>
      <c r="U121" s="8" t="s">
        <v>150</v>
      </c>
      <c r="V121" s="8" t="s">
        <v>151</v>
      </c>
      <c r="W121" s="8" t="s">
        <v>152</v>
      </c>
      <c r="X121" s="8" t="s">
        <v>289</v>
      </c>
      <c r="Y121" s="8" t="s">
        <v>193</v>
      </c>
      <c r="Z121" s="8" t="s">
        <v>1790</v>
      </c>
      <c r="AA121" s="8" t="s">
        <v>195</v>
      </c>
      <c r="AB121" s="8"/>
      <c r="AC121" s="8" t="s">
        <v>1791</v>
      </c>
      <c r="AD121" s="8" t="s">
        <v>1312</v>
      </c>
      <c r="AE121" s="8" t="s">
        <v>1313</v>
      </c>
      <c r="AF121" s="8" t="s">
        <v>1792</v>
      </c>
      <c r="AG121" s="8" t="s">
        <v>1793</v>
      </c>
      <c r="AH121" s="8"/>
      <c r="AI121" s="8" t="s">
        <v>1794</v>
      </c>
      <c r="AJ121" s="8" t="s">
        <v>1795</v>
      </c>
      <c r="AK121" s="8" t="s">
        <v>141</v>
      </c>
      <c r="AL121" s="8" t="s">
        <v>1796</v>
      </c>
    </row>
    <row r="122" ht="15.75" customHeight="1">
      <c r="A122" s="7">
        <v>121.0</v>
      </c>
      <c r="B122" s="8" t="s">
        <v>1797</v>
      </c>
      <c r="C122" s="9" t="s">
        <v>657</v>
      </c>
      <c r="D122" s="8" t="s">
        <v>137</v>
      </c>
      <c r="E122" s="8" t="s">
        <v>1559</v>
      </c>
      <c r="F122" s="10">
        <v>10.0</v>
      </c>
      <c r="G122" s="10">
        <f t="shared" si="1"/>
        <v>120</v>
      </c>
      <c r="H122" s="8" t="s">
        <v>167</v>
      </c>
      <c r="I122" s="8" t="s">
        <v>1798</v>
      </c>
      <c r="J122" s="8" t="s">
        <v>141</v>
      </c>
      <c r="K122" s="8" t="s">
        <v>1799</v>
      </c>
      <c r="L122" s="8" t="s">
        <v>1396</v>
      </c>
      <c r="M122" s="8" t="s">
        <v>144</v>
      </c>
      <c r="N122" s="8" t="s">
        <v>145</v>
      </c>
      <c r="O122" s="8" t="s">
        <v>141</v>
      </c>
      <c r="P122" s="11">
        <v>0.3</v>
      </c>
      <c r="Q122" s="8" t="s">
        <v>659</v>
      </c>
      <c r="R122" s="8" t="s">
        <v>147</v>
      </c>
      <c r="S122" s="8" t="s">
        <v>148</v>
      </c>
      <c r="T122" s="8" t="s">
        <v>149</v>
      </c>
      <c r="U122" s="8" t="s">
        <v>150</v>
      </c>
      <c r="V122" s="8" t="s">
        <v>151</v>
      </c>
      <c r="W122" s="8" t="s">
        <v>152</v>
      </c>
      <c r="X122" s="8" t="s">
        <v>289</v>
      </c>
      <c r="Y122" s="8" t="s">
        <v>193</v>
      </c>
      <c r="Z122" s="8" t="s">
        <v>1800</v>
      </c>
      <c r="AA122" s="8" t="s">
        <v>141</v>
      </c>
      <c r="AB122" s="8"/>
      <c r="AC122" s="8" t="s">
        <v>280</v>
      </c>
      <c r="AD122" s="8" t="s">
        <v>1312</v>
      </c>
      <c r="AE122" s="8" t="s">
        <v>1313</v>
      </c>
      <c r="AF122" s="8" t="s">
        <v>1801</v>
      </c>
      <c r="AG122" s="8" t="s">
        <v>1802</v>
      </c>
      <c r="AH122" s="8"/>
      <c r="AI122" s="8"/>
      <c r="AJ122" s="8" t="s">
        <v>1803</v>
      </c>
      <c r="AK122" s="8" t="s">
        <v>164</v>
      </c>
      <c r="AL122" s="8"/>
    </row>
    <row r="123" ht="15.75" customHeight="1">
      <c r="A123" s="7">
        <v>122.0</v>
      </c>
      <c r="B123" s="8" t="s">
        <v>1804</v>
      </c>
      <c r="C123" s="9" t="s">
        <v>611</v>
      </c>
      <c r="D123" s="8" t="s">
        <v>137</v>
      </c>
      <c r="E123" s="8" t="s">
        <v>1559</v>
      </c>
      <c r="F123" s="10">
        <v>5.0</v>
      </c>
      <c r="G123" s="10">
        <f t="shared" si="1"/>
        <v>60</v>
      </c>
      <c r="H123" s="8" t="s">
        <v>1805</v>
      </c>
      <c r="I123" s="8" t="s">
        <v>246</v>
      </c>
      <c r="J123" s="8" t="s">
        <v>141</v>
      </c>
      <c r="K123" s="8" t="s">
        <v>169</v>
      </c>
      <c r="L123" s="8" t="s">
        <v>1396</v>
      </c>
      <c r="M123" s="8" t="s">
        <v>144</v>
      </c>
      <c r="N123" s="8" t="s">
        <v>145</v>
      </c>
      <c r="O123" s="8" t="s">
        <v>141</v>
      </c>
      <c r="P123" s="11">
        <v>0.4</v>
      </c>
      <c r="Q123" s="8" t="s">
        <v>613</v>
      </c>
      <c r="R123" s="8" t="s">
        <v>147</v>
      </c>
      <c r="S123" s="8" t="s">
        <v>148</v>
      </c>
      <c r="T123" s="8" t="s">
        <v>149</v>
      </c>
      <c r="U123" s="8" t="s">
        <v>150</v>
      </c>
      <c r="V123" s="8" t="s">
        <v>151</v>
      </c>
      <c r="W123" s="8" t="s">
        <v>152</v>
      </c>
      <c r="X123" s="8" t="s">
        <v>289</v>
      </c>
      <c r="Y123" s="8" t="s">
        <v>193</v>
      </c>
      <c r="Z123" s="8" t="s">
        <v>1806</v>
      </c>
      <c r="AA123" s="8" t="s">
        <v>195</v>
      </c>
      <c r="AB123" s="8"/>
      <c r="AC123" s="8" t="s">
        <v>280</v>
      </c>
      <c r="AD123" s="8" t="s">
        <v>1312</v>
      </c>
      <c r="AE123" s="8" t="s">
        <v>1313</v>
      </c>
      <c r="AF123" s="8" t="s">
        <v>1314</v>
      </c>
      <c r="AG123" s="8" t="s">
        <v>1807</v>
      </c>
      <c r="AH123" s="8"/>
      <c r="AI123" s="8"/>
      <c r="AJ123" s="8" t="s">
        <v>1808</v>
      </c>
      <c r="AK123" s="8" t="s">
        <v>141</v>
      </c>
      <c r="AL123" s="8" t="s">
        <v>1809</v>
      </c>
    </row>
    <row r="124" ht="15.75" customHeight="1">
      <c r="A124" s="7">
        <v>123.0</v>
      </c>
      <c r="B124" s="8" t="s">
        <v>1810</v>
      </c>
      <c r="C124" s="9" t="s">
        <v>614</v>
      </c>
      <c r="D124" s="8" t="s">
        <v>137</v>
      </c>
      <c r="E124" s="8" t="s">
        <v>1559</v>
      </c>
      <c r="F124" s="10">
        <v>2.0</v>
      </c>
      <c r="G124" s="10">
        <f t="shared" si="1"/>
        <v>24</v>
      </c>
      <c r="H124" s="8" t="s">
        <v>167</v>
      </c>
      <c r="I124" s="8" t="s">
        <v>246</v>
      </c>
      <c r="J124" s="8" t="s">
        <v>141</v>
      </c>
      <c r="K124" s="8" t="s">
        <v>1811</v>
      </c>
      <c r="L124" s="8" t="s">
        <v>1396</v>
      </c>
      <c r="M124" s="8" t="s">
        <v>144</v>
      </c>
      <c r="N124" s="8" t="s">
        <v>145</v>
      </c>
      <c r="O124" s="8" t="s">
        <v>141</v>
      </c>
      <c r="P124" s="11">
        <v>0.4</v>
      </c>
      <c r="Q124" s="8" t="s">
        <v>615</v>
      </c>
      <c r="R124" s="8" t="s">
        <v>147</v>
      </c>
      <c r="S124" s="8" t="s">
        <v>148</v>
      </c>
      <c r="T124" s="8" t="s">
        <v>149</v>
      </c>
      <c r="U124" s="8" t="s">
        <v>150</v>
      </c>
      <c r="V124" s="8" t="s">
        <v>151</v>
      </c>
      <c r="W124" s="8" t="s">
        <v>152</v>
      </c>
      <c r="X124" s="8" t="s">
        <v>289</v>
      </c>
      <c r="Y124" s="8" t="s">
        <v>154</v>
      </c>
      <c r="Z124" s="8" t="s">
        <v>1812</v>
      </c>
      <c r="AA124" s="8" t="s">
        <v>141</v>
      </c>
      <c r="AB124" s="8"/>
      <c r="AC124" s="8" t="s">
        <v>280</v>
      </c>
      <c r="AD124" s="8" t="s">
        <v>1312</v>
      </c>
      <c r="AE124" s="8" t="s">
        <v>1313</v>
      </c>
      <c r="AF124" s="8" t="s">
        <v>1314</v>
      </c>
      <c r="AG124" s="8" t="s">
        <v>1813</v>
      </c>
      <c r="AH124" s="8"/>
      <c r="AI124" s="8"/>
      <c r="AJ124" s="8" t="s">
        <v>1814</v>
      </c>
      <c r="AK124" s="8" t="s">
        <v>141</v>
      </c>
      <c r="AL124" s="8" t="s">
        <v>1815</v>
      </c>
    </row>
    <row r="125" ht="15.75" customHeight="1">
      <c r="A125" s="7">
        <v>124.0</v>
      </c>
      <c r="B125" s="8" t="s">
        <v>1816</v>
      </c>
      <c r="C125" s="9" t="s">
        <v>538</v>
      </c>
      <c r="D125" s="8" t="s">
        <v>137</v>
      </c>
      <c r="E125" s="8" t="s">
        <v>1559</v>
      </c>
      <c r="F125" s="10">
        <v>2.0</v>
      </c>
      <c r="G125" s="10">
        <f t="shared" si="1"/>
        <v>24</v>
      </c>
      <c r="H125" s="8" t="s">
        <v>167</v>
      </c>
      <c r="I125" s="8" t="s">
        <v>246</v>
      </c>
      <c r="J125" s="8" t="s">
        <v>141</v>
      </c>
      <c r="K125" s="8" t="s">
        <v>1817</v>
      </c>
      <c r="L125" s="8" t="s">
        <v>1396</v>
      </c>
      <c r="M125" s="8" t="s">
        <v>144</v>
      </c>
      <c r="N125" s="8" t="s">
        <v>145</v>
      </c>
      <c r="O125" s="8" t="s">
        <v>141</v>
      </c>
      <c r="P125" s="11">
        <v>0.6</v>
      </c>
      <c r="Q125" s="8" t="s">
        <v>539</v>
      </c>
      <c r="R125" s="8" t="s">
        <v>147</v>
      </c>
      <c r="S125" s="8" t="s">
        <v>148</v>
      </c>
      <c r="T125" s="8" t="s">
        <v>149</v>
      </c>
      <c r="U125" s="8" t="s">
        <v>150</v>
      </c>
      <c r="V125" s="8" t="s">
        <v>151</v>
      </c>
      <c r="W125" s="8" t="s">
        <v>152</v>
      </c>
      <c r="X125" s="8" t="s">
        <v>289</v>
      </c>
      <c r="Y125" s="8" t="s">
        <v>154</v>
      </c>
      <c r="Z125" s="8" t="s">
        <v>1818</v>
      </c>
      <c r="AA125" s="8" t="s">
        <v>141</v>
      </c>
      <c r="AB125" s="8"/>
      <c r="AC125" s="8" t="s">
        <v>280</v>
      </c>
      <c r="AD125" s="8" t="s">
        <v>1312</v>
      </c>
      <c r="AE125" s="8" t="s">
        <v>1313</v>
      </c>
      <c r="AF125" s="8" t="s">
        <v>1819</v>
      </c>
      <c r="AG125" s="8" t="s">
        <v>1820</v>
      </c>
      <c r="AH125" s="8"/>
      <c r="AI125" s="8"/>
      <c r="AJ125" s="8" t="s">
        <v>1821</v>
      </c>
      <c r="AK125" s="8" t="s">
        <v>164</v>
      </c>
      <c r="AL125" s="8"/>
    </row>
    <row r="126" ht="15.75" customHeight="1">
      <c r="A126" s="7">
        <v>125.0</v>
      </c>
      <c r="B126" s="8" t="s">
        <v>1822</v>
      </c>
      <c r="C126" s="9" t="s">
        <v>661</v>
      </c>
      <c r="D126" s="8" t="s">
        <v>137</v>
      </c>
      <c r="E126" s="8" t="s">
        <v>1559</v>
      </c>
      <c r="F126" s="10">
        <v>5.0</v>
      </c>
      <c r="G126" s="10">
        <f t="shared" si="1"/>
        <v>60</v>
      </c>
      <c r="H126" s="8" t="s">
        <v>167</v>
      </c>
      <c r="I126" s="8" t="s">
        <v>246</v>
      </c>
      <c r="J126" s="8" t="s">
        <v>141</v>
      </c>
      <c r="K126" s="8" t="s">
        <v>316</v>
      </c>
      <c r="L126" s="8"/>
      <c r="M126" s="8" t="s">
        <v>144</v>
      </c>
      <c r="N126" s="8" t="s">
        <v>145</v>
      </c>
      <c r="O126" s="8" t="s">
        <v>141</v>
      </c>
      <c r="P126" s="11">
        <v>0.3</v>
      </c>
      <c r="Q126" s="8" t="s">
        <v>663</v>
      </c>
      <c r="R126" s="8" t="s">
        <v>147</v>
      </c>
      <c r="S126" s="8" t="s">
        <v>148</v>
      </c>
      <c r="T126" s="8" t="s">
        <v>149</v>
      </c>
      <c r="U126" s="8" t="s">
        <v>150</v>
      </c>
      <c r="V126" s="8" t="s">
        <v>151</v>
      </c>
      <c r="W126" s="8" t="s">
        <v>152</v>
      </c>
      <c r="X126" s="8" t="s">
        <v>289</v>
      </c>
      <c r="Y126" s="8" t="s">
        <v>193</v>
      </c>
      <c r="Z126" s="8" t="s">
        <v>1823</v>
      </c>
      <c r="AA126" s="8" t="s">
        <v>141</v>
      </c>
      <c r="AB126" s="8"/>
      <c r="AC126" s="8" t="s">
        <v>280</v>
      </c>
      <c r="AD126" s="8" t="s">
        <v>1312</v>
      </c>
      <c r="AE126" s="8" t="s">
        <v>1313</v>
      </c>
      <c r="AF126" s="8" t="s">
        <v>1314</v>
      </c>
      <c r="AG126" s="8" t="s">
        <v>1824</v>
      </c>
      <c r="AH126" s="8"/>
      <c r="AI126" s="8"/>
      <c r="AJ126" s="8" t="s">
        <v>1826</v>
      </c>
      <c r="AK126" s="8" t="s">
        <v>141</v>
      </c>
      <c r="AL126" s="8" t="s">
        <v>1827</v>
      </c>
    </row>
    <row r="127" ht="15.75" customHeight="1">
      <c r="A127" s="7">
        <v>126.0</v>
      </c>
      <c r="B127" s="8" t="s">
        <v>1828</v>
      </c>
      <c r="C127" s="9" t="s">
        <v>666</v>
      </c>
      <c r="D127" s="8" t="s">
        <v>137</v>
      </c>
      <c r="E127" s="8" t="s">
        <v>1559</v>
      </c>
      <c r="F127" s="10">
        <v>10.0</v>
      </c>
      <c r="G127" s="10">
        <f t="shared" si="1"/>
        <v>120</v>
      </c>
      <c r="H127" s="8" t="s">
        <v>167</v>
      </c>
      <c r="I127" s="8" t="s">
        <v>1829</v>
      </c>
      <c r="J127" s="8" t="s">
        <v>141</v>
      </c>
      <c r="K127" s="8" t="s">
        <v>169</v>
      </c>
      <c r="L127" s="8"/>
      <c r="M127" s="8" t="s">
        <v>144</v>
      </c>
      <c r="N127" s="8" t="s">
        <v>145</v>
      </c>
      <c r="O127" s="8" t="s">
        <v>141</v>
      </c>
      <c r="P127" s="11">
        <v>0.3</v>
      </c>
      <c r="Q127" s="8" t="s">
        <v>667</v>
      </c>
      <c r="R127" s="8" t="s">
        <v>147</v>
      </c>
      <c r="S127" s="8" t="s">
        <v>148</v>
      </c>
      <c r="T127" s="8" t="s">
        <v>149</v>
      </c>
      <c r="U127" s="8" t="s">
        <v>150</v>
      </c>
      <c r="V127" s="8" t="s">
        <v>151</v>
      </c>
      <c r="W127" s="8" t="s">
        <v>152</v>
      </c>
      <c r="X127" s="8" t="s">
        <v>289</v>
      </c>
      <c r="Y127" s="8" t="s">
        <v>193</v>
      </c>
      <c r="Z127" s="8" t="s">
        <v>1830</v>
      </c>
      <c r="AA127" s="8" t="s">
        <v>141</v>
      </c>
      <c r="AB127" s="8"/>
      <c r="AC127" s="8" t="s">
        <v>280</v>
      </c>
      <c r="AD127" s="8" t="s">
        <v>1312</v>
      </c>
      <c r="AE127" s="8" t="s">
        <v>1313</v>
      </c>
      <c r="AF127" s="8" t="s">
        <v>1314</v>
      </c>
      <c r="AG127" s="8" t="s">
        <v>1831</v>
      </c>
      <c r="AH127" s="8"/>
      <c r="AI127" s="8"/>
      <c r="AJ127" s="8" t="s">
        <v>1832</v>
      </c>
      <c r="AK127" s="8" t="s">
        <v>164</v>
      </c>
      <c r="AL127" s="8"/>
    </row>
    <row r="128" ht="15.75" customHeight="1">
      <c r="A128" s="7">
        <v>127.0</v>
      </c>
      <c r="B128" s="8" t="s">
        <v>1833</v>
      </c>
      <c r="C128" s="9" t="s">
        <v>683</v>
      </c>
      <c r="D128" s="8" t="s">
        <v>137</v>
      </c>
      <c r="E128" s="8" t="s">
        <v>1559</v>
      </c>
      <c r="F128" s="10">
        <v>10.0</v>
      </c>
      <c r="G128" s="10">
        <f t="shared" si="1"/>
        <v>120</v>
      </c>
      <c r="H128" s="8" t="s">
        <v>1834</v>
      </c>
      <c r="I128" s="8" t="s">
        <v>1835</v>
      </c>
      <c r="J128" s="8" t="s">
        <v>141</v>
      </c>
      <c r="K128" s="8" t="s">
        <v>1836</v>
      </c>
      <c r="L128" s="8"/>
      <c r="M128" s="8" t="s">
        <v>144</v>
      </c>
      <c r="N128" s="8" t="s">
        <v>145</v>
      </c>
      <c r="O128" s="8" t="s">
        <v>141</v>
      </c>
      <c r="P128" s="11">
        <v>0.2</v>
      </c>
      <c r="Q128" s="8" t="s">
        <v>684</v>
      </c>
      <c r="R128" s="8" t="s">
        <v>147</v>
      </c>
      <c r="S128" s="8" t="s">
        <v>148</v>
      </c>
      <c r="T128" s="8" t="s">
        <v>149</v>
      </c>
      <c r="U128" s="8" t="s">
        <v>150</v>
      </c>
      <c r="V128" s="8" t="s">
        <v>164</v>
      </c>
      <c r="W128" s="8" t="s">
        <v>152</v>
      </c>
      <c r="X128" s="8" t="s">
        <v>289</v>
      </c>
      <c r="Y128" s="8" t="s">
        <v>193</v>
      </c>
      <c r="Z128" s="8" t="s">
        <v>1837</v>
      </c>
      <c r="AA128" s="8" t="s">
        <v>141</v>
      </c>
      <c r="AB128" s="8"/>
      <c r="AC128" s="8" t="s">
        <v>280</v>
      </c>
      <c r="AD128" s="8" t="s">
        <v>1312</v>
      </c>
      <c r="AE128" s="8" t="s">
        <v>1313</v>
      </c>
      <c r="AF128" s="8" t="s">
        <v>1314</v>
      </c>
      <c r="AG128" s="8" t="s">
        <v>1838</v>
      </c>
      <c r="AH128" s="8" t="s">
        <v>1451</v>
      </c>
      <c r="AI128" s="8"/>
      <c r="AJ128" s="8" t="s">
        <v>1839</v>
      </c>
      <c r="AK128" s="8" t="s">
        <v>164</v>
      </c>
      <c r="AL128" s="8"/>
    </row>
    <row r="129" ht="15.75" customHeight="1">
      <c r="A129" s="7">
        <v>128.0</v>
      </c>
      <c r="B129" s="8" t="s">
        <v>1840</v>
      </c>
      <c r="C129" s="9" t="s">
        <v>580</v>
      </c>
      <c r="D129" s="8" t="s">
        <v>137</v>
      </c>
      <c r="E129" s="8" t="s">
        <v>1559</v>
      </c>
      <c r="F129" s="10">
        <v>8.0</v>
      </c>
      <c r="G129" s="10">
        <f t="shared" si="1"/>
        <v>96</v>
      </c>
      <c r="H129" s="8" t="s">
        <v>1841</v>
      </c>
      <c r="I129" s="8" t="s">
        <v>1842</v>
      </c>
      <c r="J129" s="8" t="s">
        <v>221</v>
      </c>
      <c r="K129" s="8" t="s">
        <v>169</v>
      </c>
      <c r="L129" s="8" t="s">
        <v>1396</v>
      </c>
      <c r="M129" s="8" t="s">
        <v>144</v>
      </c>
      <c r="N129" s="8" t="s">
        <v>145</v>
      </c>
      <c r="O129" s="8" t="s">
        <v>141</v>
      </c>
      <c r="P129" s="11">
        <v>0.5</v>
      </c>
      <c r="Q129" s="8" t="s">
        <v>583</v>
      </c>
      <c r="R129" s="8" t="s">
        <v>147</v>
      </c>
      <c r="S129" s="8" t="s">
        <v>148</v>
      </c>
      <c r="T129" s="8" t="s">
        <v>149</v>
      </c>
      <c r="U129" s="8" t="s">
        <v>150</v>
      </c>
      <c r="V129" s="8" t="s">
        <v>151</v>
      </c>
      <c r="W129" s="8" t="s">
        <v>152</v>
      </c>
      <c r="X129" s="8" t="s">
        <v>289</v>
      </c>
      <c r="Y129" s="8" t="s">
        <v>154</v>
      </c>
      <c r="Z129" s="8" t="s">
        <v>1844</v>
      </c>
      <c r="AA129" s="8" t="s">
        <v>141</v>
      </c>
      <c r="AB129" s="8"/>
      <c r="AC129" s="8" t="s">
        <v>1845</v>
      </c>
      <c r="AD129" s="8" t="s">
        <v>1312</v>
      </c>
      <c r="AE129" s="8" t="s">
        <v>1313</v>
      </c>
      <c r="AF129" s="8" t="s">
        <v>1314</v>
      </c>
      <c r="AG129" s="8" t="s">
        <v>1846</v>
      </c>
      <c r="AH129" s="8" t="s">
        <v>1451</v>
      </c>
      <c r="AI129" s="8" t="s">
        <v>1847</v>
      </c>
      <c r="AJ129" s="8" t="s">
        <v>1848</v>
      </c>
      <c r="AK129" s="8" t="s">
        <v>164</v>
      </c>
      <c r="AL129" s="8"/>
    </row>
    <row r="130" ht="15.75" customHeight="1">
      <c r="A130" s="7">
        <v>129.0</v>
      </c>
      <c r="B130" s="8" t="s">
        <v>1849</v>
      </c>
      <c r="C130" s="9" t="s">
        <v>1850</v>
      </c>
      <c r="D130" s="8" t="s">
        <v>137</v>
      </c>
      <c r="E130" s="8" t="s">
        <v>1559</v>
      </c>
      <c r="F130" s="10">
        <v>30.0</v>
      </c>
      <c r="G130" s="10">
        <f t="shared" si="1"/>
        <v>360</v>
      </c>
      <c r="H130" s="8" t="s">
        <v>1851</v>
      </c>
      <c r="I130" s="8" t="s">
        <v>1852</v>
      </c>
      <c r="J130" s="8" t="s">
        <v>164</v>
      </c>
      <c r="K130" s="8"/>
      <c r="L130" s="8"/>
      <c r="M130" s="8" t="s">
        <v>261</v>
      </c>
      <c r="N130" s="8" t="s">
        <v>170</v>
      </c>
      <c r="O130" s="8" t="s">
        <v>164</v>
      </c>
      <c r="P130" s="11"/>
      <c r="Q130" s="8"/>
      <c r="R130" s="8" t="s">
        <v>172</v>
      </c>
      <c r="S130" s="8" t="s">
        <v>474</v>
      </c>
      <c r="T130" s="8" t="s">
        <v>477</v>
      </c>
      <c r="U130" s="8" t="s">
        <v>474</v>
      </c>
      <c r="V130" s="8" t="s">
        <v>164</v>
      </c>
      <c r="W130" s="8"/>
      <c r="X130" s="8" t="s">
        <v>289</v>
      </c>
      <c r="Y130" s="8" t="s">
        <v>193</v>
      </c>
      <c r="Z130" s="8" t="s">
        <v>1853</v>
      </c>
      <c r="AA130" s="8" t="s">
        <v>195</v>
      </c>
      <c r="AB130" s="8"/>
      <c r="AC130" s="8" t="s">
        <v>1854</v>
      </c>
      <c r="AD130" s="8" t="s">
        <v>1312</v>
      </c>
      <c r="AE130" s="8" t="s">
        <v>1313</v>
      </c>
      <c r="AF130" s="8" t="s">
        <v>1314</v>
      </c>
      <c r="AG130" s="8" t="s">
        <v>1855</v>
      </c>
      <c r="AH130" s="8" t="s">
        <v>1856</v>
      </c>
      <c r="AI130" s="8"/>
      <c r="AJ130" s="8" t="s">
        <v>1857</v>
      </c>
      <c r="AK130" s="8" t="s">
        <v>164</v>
      </c>
      <c r="AL130" s="8"/>
    </row>
    <row r="131" ht="15.75" customHeight="1">
      <c r="A131" s="7">
        <v>130.0</v>
      </c>
      <c r="B131" s="8" t="s">
        <v>1858</v>
      </c>
      <c r="C131" s="9" t="s">
        <v>584</v>
      </c>
      <c r="D131" s="8" t="s">
        <v>137</v>
      </c>
      <c r="E131" s="8" t="s">
        <v>1559</v>
      </c>
      <c r="F131" s="10">
        <v>50.0</v>
      </c>
      <c r="G131" s="10">
        <f t="shared" si="1"/>
        <v>600</v>
      </c>
      <c r="H131" s="8" t="s">
        <v>1859</v>
      </c>
      <c r="I131" s="8" t="s">
        <v>1860</v>
      </c>
      <c r="J131" s="8" t="s">
        <v>141</v>
      </c>
      <c r="K131" s="8" t="s">
        <v>1861</v>
      </c>
      <c r="L131" s="8" t="s">
        <v>1396</v>
      </c>
      <c r="M131" s="8" t="s">
        <v>144</v>
      </c>
      <c r="N131" s="8" t="s">
        <v>145</v>
      </c>
      <c r="O131" s="8" t="s">
        <v>141</v>
      </c>
      <c r="P131" s="11">
        <v>0.5</v>
      </c>
      <c r="Q131" s="8" t="s">
        <v>585</v>
      </c>
      <c r="R131" s="8" t="s">
        <v>147</v>
      </c>
      <c r="S131" s="8" t="s">
        <v>148</v>
      </c>
      <c r="T131" s="8" t="s">
        <v>149</v>
      </c>
      <c r="U131" s="8" t="s">
        <v>150</v>
      </c>
      <c r="V131" s="8" t="s">
        <v>151</v>
      </c>
      <c r="W131" s="8" t="s">
        <v>152</v>
      </c>
      <c r="X131" s="8" t="s">
        <v>289</v>
      </c>
      <c r="Y131" s="8" t="s">
        <v>193</v>
      </c>
      <c r="Z131" s="8" t="s">
        <v>1862</v>
      </c>
      <c r="AA131" s="8" t="s">
        <v>141</v>
      </c>
      <c r="AB131" s="8"/>
      <c r="AC131" s="8" t="s">
        <v>1863</v>
      </c>
      <c r="AD131" s="8" t="s">
        <v>785</v>
      </c>
      <c r="AE131" s="8" t="s">
        <v>786</v>
      </c>
      <c r="AF131" s="8" t="s">
        <v>1864</v>
      </c>
      <c r="AG131" s="8" t="s">
        <v>1865</v>
      </c>
      <c r="AH131" s="8"/>
      <c r="AI131" s="8"/>
      <c r="AJ131" s="8" t="s">
        <v>1866</v>
      </c>
      <c r="AK131" s="8" t="s">
        <v>164</v>
      </c>
      <c r="AL131" s="8"/>
    </row>
    <row r="132" ht="15.75" customHeight="1">
      <c r="A132" s="7">
        <v>131.0</v>
      </c>
      <c r="B132" s="8" t="s">
        <v>1867</v>
      </c>
      <c r="C132" s="9" t="s">
        <v>1868</v>
      </c>
      <c r="D132" s="8" t="s">
        <v>137</v>
      </c>
      <c r="E132" s="8" t="s">
        <v>1559</v>
      </c>
      <c r="F132" s="10">
        <v>10.0</v>
      </c>
      <c r="G132" s="10">
        <f t="shared" si="1"/>
        <v>120</v>
      </c>
      <c r="H132" s="8" t="s">
        <v>1834</v>
      </c>
      <c r="I132" s="8" t="s">
        <v>1869</v>
      </c>
      <c r="J132" s="8" t="s">
        <v>164</v>
      </c>
      <c r="K132" s="8"/>
      <c r="L132" s="8"/>
      <c r="M132" s="8" t="s">
        <v>144</v>
      </c>
      <c r="N132" s="8" t="s">
        <v>170</v>
      </c>
      <c r="O132" s="8" t="s">
        <v>164</v>
      </c>
      <c r="P132" s="11"/>
      <c r="Q132" s="8"/>
      <c r="R132" s="8" t="s">
        <v>172</v>
      </c>
      <c r="S132" s="8" t="s">
        <v>474</v>
      </c>
      <c r="T132" s="8" t="s">
        <v>477</v>
      </c>
      <c r="U132" s="8" t="s">
        <v>474</v>
      </c>
      <c r="V132" s="8" t="s">
        <v>164</v>
      </c>
      <c r="W132" s="8"/>
      <c r="X132" s="8" t="s">
        <v>289</v>
      </c>
      <c r="Y132" s="8" t="s">
        <v>193</v>
      </c>
      <c r="Z132" s="8" t="s">
        <v>1870</v>
      </c>
      <c r="AA132" s="8" t="s">
        <v>141</v>
      </c>
      <c r="AB132" s="8"/>
      <c r="AC132" s="8" t="s">
        <v>1871</v>
      </c>
      <c r="AD132" s="8" t="s">
        <v>1312</v>
      </c>
      <c r="AE132" s="8" t="s">
        <v>1313</v>
      </c>
      <c r="AF132" s="8" t="s">
        <v>1314</v>
      </c>
      <c r="AG132" s="8" t="s">
        <v>1872</v>
      </c>
      <c r="AH132" s="8" t="s">
        <v>1440</v>
      </c>
      <c r="AI132" s="8"/>
      <c r="AJ132" s="8" t="s">
        <v>1874</v>
      </c>
      <c r="AK132" s="8" t="s">
        <v>164</v>
      </c>
      <c r="AL132" s="8"/>
    </row>
    <row r="133" ht="15.75" customHeight="1">
      <c r="A133" s="7">
        <v>132.0</v>
      </c>
      <c r="B133" s="8" t="s">
        <v>1875</v>
      </c>
      <c r="C133" s="9" t="s">
        <v>1876</v>
      </c>
      <c r="D133" s="8" t="s">
        <v>137</v>
      </c>
      <c r="E133" s="8" t="s">
        <v>1559</v>
      </c>
      <c r="F133" s="10">
        <v>30.0</v>
      </c>
      <c r="G133" s="10">
        <f t="shared" si="1"/>
        <v>360</v>
      </c>
      <c r="H133" s="8" t="s">
        <v>1834</v>
      </c>
      <c r="I133" s="8" t="s">
        <v>1877</v>
      </c>
      <c r="J133" s="8" t="s">
        <v>221</v>
      </c>
      <c r="K133" s="8" t="s">
        <v>1620</v>
      </c>
      <c r="L133" s="8"/>
      <c r="M133" s="8" t="s">
        <v>144</v>
      </c>
      <c r="N133" s="8" t="s">
        <v>145</v>
      </c>
      <c r="O133" s="8" t="s">
        <v>141</v>
      </c>
      <c r="P133" s="11">
        <v>0.2</v>
      </c>
      <c r="Q133" s="8" t="s">
        <v>1878</v>
      </c>
      <c r="R133" s="8" t="s">
        <v>172</v>
      </c>
      <c r="S133" s="8" t="s">
        <v>474</v>
      </c>
      <c r="T133" s="8" t="s">
        <v>477</v>
      </c>
      <c r="U133" s="8" t="s">
        <v>474</v>
      </c>
      <c r="V133" s="8" t="s">
        <v>164</v>
      </c>
      <c r="W133" s="8"/>
      <c r="X133" s="8" t="s">
        <v>289</v>
      </c>
      <c r="Y133" s="8" t="s">
        <v>193</v>
      </c>
      <c r="Z133" s="8" t="s">
        <v>1879</v>
      </c>
      <c r="AA133" s="8" t="s">
        <v>195</v>
      </c>
      <c r="AB133" s="8"/>
      <c r="AC133" s="8" t="s">
        <v>1880</v>
      </c>
      <c r="AD133" s="8" t="s">
        <v>1312</v>
      </c>
      <c r="AE133" s="8" t="s">
        <v>1313</v>
      </c>
      <c r="AF133" s="8" t="s">
        <v>1314</v>
      </c>
      <c r="AG133" s="8" t="s">
        <v>1831</v>
      </c>
      <c r="AH133" s="8" t="s">
        <v>1440</v>
      </c>
      <c r="AI133" s="8"/>
      <c r="AJ133" s="8" t="s">
        <v>1881</v>
      </c>
      <c r="AK133" s="8" t="s">
        <v>164</v>
      </c>
      <c r="AL133" s="8"/>
    </row>
    <row r="134" ht="15.75" customHeight="1">
      <c r="A134" s="7">
        <v>133.0</v>
      </c>
      <c r="B134" s="8" t="s">
        <v>1882</v>
      </c>
      <c r="C134" s="9" t="s">
        <v>1883</v>
      </c>
      <c r="D134" s="8" t="s">
        <v>137</v>
      </c>
      <c r="E134" s="8" t="s">
        <v>1559</v>
      </c>
      <c r="F134" s="10">
        <v>100.0</v>
      </c>
      <c r="G134" s="10">
        <f t="shared" si="1"/>
        <v>1200</v>
      </c>
      <c r="H134" s="8"/>
      <c r="I134" s="8" t="s">
        <v>1885</v>
      </c>
      <c r="J134" s="8" t="s">
        <v>164</v>
      </c>
      <c r="K134" s="8"/>
      <c r="L134" s="8"/>
      <c r="M134" s="8" t="s">
        <v>144</v>
      </c>
      <c r="N134" s="8" t="s">
        <v>170</v>
      </c>
      <c r="O134" s="8" t="s">
        <v>164</v>
      </c>
      <c r="P134" s="11"/>
      <c r="Q134" s="8"/>
      <c r="R134" s="8" t="s">
        <v>172</v>
      </c>
      <c r="S134" s="8" t="s">
        <v>474</v>
      </c>
      <c r="T134" s="8" t="s">
        <v>477</v>
      </c>
      <c r="U134" s="8" t="s">
        <v>474</v>
      </c>
      <c r="V134" s="8" t="s">
        <v>164</v>
      </c>
      <c r="W134" s="8"/>
      <c r="X134" s="8" t="s">
        <v>289</v>
      </c>
      <c r="Y134" s="8" t="s">
        <v>249</v>
      </c>
      <c r="Z134" s="8" t="s">
        <v>1887</v>
      </c>
      <c r="AA134" s="8" t="s">
        <v>195</v>
      </c>
      <c r="AB134" s="8"/>
      <c r="AC134" s="8" t="s">
        <v>1888</v>
      </c>
      <c r="AD134" s="8" t="s">
        <v>785</v>
      </c>
      <c r="AE134" s="8" t="s">
        <v>786</v>
      </c>
      <c r="AF134" s="8" t="s">
        <v>787</v>
      </c>
      <c r="AG134" s="8" t="s">
        <v>1889</v>
      </c>
      <c r="AH134" s="8"/>
      <c r="AI134" s="8"/>
      <c r="AJ134" s="8" t="s">
        <v>1890</v>
      </c>
      <c r="AK134" s="8" t="s">
        <v>141</v>
      </c>
      <c r="AL134" s="8" t="s">
        <v>1891</v>
      </c>
    </row>
    <row r="135" ht="15.75" customHeight="1">
      <c r="A135" s="7">
        <v>134.0</v>
      </c>
      <c r="B135" s="8" t="s">
        <v>1892</v>
      </c>
      <c r="C135" s="9" t="s">
        <v>1449</v>
      </c>
      <c r="D135" s="8" t="s">
        <v>137</v>
      </c>
      <c r="E135" s="8" t="s">
        <v>1559</v>
      </c>
      <c r="F135" s="10">
        <v>30.0</v>
      </c>
      <c r="G135" s="10">
        <f t="shared" si="1"/>
        <v>360</v>
      </c>
      <c r="H135" s="8"/>
      <c r="I135" s="8" t="s">
        <v>1893</v>
      </c>
      <c r="J135" s="8" t="s">
        <v>164</v>
      </c>
      <c r="K135" s="8"/>
      <c r="L135" s="8"/>
      <c r="M135" s="8" t="s">
        <v>144</v>
      </c>
      <c r="N135" s="8" t="s">
        <v>170</v>
      </c>
      <c r="O135" s="8" t="s">
        <v>164</v>
      </c>
      <c r="P135" s="11"/>
      <c r="Q135" s="8"/>
      <c r="R135" s="8" t="s">
        <v>172</v>
      </c>
      <c r="S135" s="8" t="s">
        <v>173</v>
      </c>
      <c r="T135" s="8" t="s">
        <v>174</v>
      </c>
      <c r="U135" s="8" t="s">
        <v>173</v>
      </c>
      <c r="V135" s="8" t="s">
        <v>164</v>
      </c>
      <c r="W135" s="8"/>
      <c r="X135" s="8" t="s">
        <v>289</v>
      </c>
      <c r="Y135" s="8" t="s">
        <v>176</v>
      </c>
      <c r="Z135" s="8" t="s">
        <v>1894</v>
      </c>
      <c r="AA135" s="8" t="s">
        <v>164</v>
      </c>
      <c r="AB135" s="8" t="s">
        <v>1884</v>
      </c>
      <c r="AC135" s="8" t="s">
        <v>1895</v>
      </c>
      <c r="AD135" s="8" t="s">
        <v>252</v>
      </c>
      <c r="AE135" s="8" t="s">
        <v>181</v>
      </c>
      <c r="AF135" s="8" t="s">
        <v>253</v>
      </c>
      <c r="AG135" s="8" t="s">
        <v>1896</v>
      </c>
      <c r="AH135" s="8" t="s">
        <v>1448</v>
      </c>
      <c r="AI135" s="8"/>
      <c r="AJ135" s="8" t="s">
        <v>1897</v>
      </c>
      <c r="AK135" s="8" t="s">
        <v>141</v>
      </c>
      <c r="AL135" s="8" t="s">
        <v>1898</v>
      </c>
    </row>
    <row r="136" ht="15.75" customHeight="1">
      <c r="A136" s="7">
        <v>135.0</v>
      </c>
      <c r="B136" s="8" t="s">
        <v>1899</v>
      </c>
      <c r="C136" s="9" t="s">
        <v>668</v>
      </c>
      <c r="D136" s="8" t="s">
        <v>137</v>
      </c>
      <c r="E136" s="8" t="s">
        <v>1559</v>
      </c>
      <c r="F136" s="10">
        <v>10.0</v>
      </c>
      <c r="G136" s="10">
        <f t="shared" si="1"/>
        <v>120</v>
      </c>
      <c r="H136" s="8" t="s">
        <v>1900</v>
      </c>
      <c r="I136" s="8" t="s">
        <v>1901</v>
      </c>
      <c r="J136" s="8" t="s">
        <v>221</v>
      </c>
      <c r="K136" s="8" t="s">
        <v>1902</v>
      </c>
      <c r="L136" s="8"/>
      <c r="M136" s="8" t="s">
        <v>144</v>
      </c>
      <c r="N136" s="8" t="s">
        <v>145</v>
      </c>
      <c r="O136" s="8" t="s">
        <v>141</v>
      </c>
      <c r="P136" s="11">
        <v>0.3</v>
      </c>
      <c r="Q136" s="8" t="s">
        <v>671</v>
      </c>
      <c r="R136" s="8" t="s">
        <v>147</v>
      </c>
      <c r="S136" s="8" t="s">
        <v>148</v>
      </c>
      <c r="T136" s="8" t="s">
        <v>149</v>
      </c>
      <c r="U136" s="8" t="s">
        <v>150</v>
      </c>
      <c r="V136" s="8" t="s">
        <v>164</v>
      </c>
      <c r="W136" s="8" t="s">
        <v>152</v>
      </c>
      <c r="X136" s="8" t="s">
        <v>289</v>
      </c>
      <c r="Y136" s="8" t="s">
        <v>193</v>
      </c>
      <c r="Z136" s="8" t="s">
        <v>1903</v>
      </c>
      <c r="AA136" s="8" t="s">
        <v>141</v>
      </c>
      <c r="AB136" s="8"/>
      <c r="AC136" s="8" t="s">
        <v>1904</v>
      </c>
      <c r="AD136" s="8" t="s">
        <v>1312</v>
      </c>
      <c r="AE136" s="8" t="s">
        <v>1313</v>
      </c>
      <c r="AF136" s="8" t="s">
        <v>1905</v>
      </c>
      <c r="AG136" s="8" t="s">
        <v>1906</v>
      </c>
      <c r="AH136" s="8"/>
      <c r="AI136" s="8"/>
      <c r="AJ136" s="8" t="s">
        <v>1907</v>
      </c>
      <c r="AK136" s="8" t="s">
        <v>164</v>
      </c>
      <c r="AL136" s="8"/>
    </row>
    <row r="137" ht="15.75" customHeight="1">
      <c r="A137" s="7">
        <v>136.0</v>
      </c>
      <c r="B137" s="8" t="s">
        <v>1908</v>
      </c>
      <c r="C137" s="9" t="s">
        <v>691</v>
      </c>
      <c r="D137" s="8" t="s">
        <v>137</v>
      </c>
      <c r="E137" s="8" t="s">
        <v>1559</v>
      </c>
      <c r="F137" s="10">
        <v>5.0</v>
      </c>
      <c r="G137" s="10">
        <f t="shared" si="1"/>
        <v>60</v>
      </c>
      <c r="H137" s="8" t="s">
        <v>167</v>
      </c>
      <c r="I137" s="8" t="s">
        <v>1909</v>
      </c>
      <c r="J137" s="8" t="s">
        <v>221</v>
      </c>
      <c r="K137" s="8" t="s">
        <v>889</v>
      </c>
      <c r="L137" s="8"/>
      <c r="M137" s="8" t="s">
        <v>144</v>
      </c>
      <c r="N137" s="8" t="s">
        <v>145</v>
      </c>
      <c r="O137" s="8" t="s">
        <v>141</v>
      </c>
      <c r="P137" s="11">
        <v>0.1</v>
      </c>
      <c r="Q137" s="8" t="s">
        <v>693</v>
      </c>
      <c r="R137" s="8" t="s">
        <v>147</v>
      </c>
      <c r="S137" s="8" t="s">
        <v>148</v>
      </c>
      <c r="T137" s="8" t="s">
        <v>149</v>
      </c>
      <c r="U137" s="8" t="s">
        <v>150</v>
      </c>
      <c r="V137" s="8" t="s">
        <v>164</v>
      </c>
      <c r="W137" s="8" t="s">
        <v>152</v>
      </c>
      <c r="X137" s="8" t="s">
        <v>289</v>
      </c>
      <c r="Y137" s="8" t="s">
        <v>249</v>
      </c>
      <c r="Z137" s="8" t="s">
        <v>1911</v>
      </c>
      <c r="AA137" s="8" t="s">
        <v>195</v>
      </c>
      <c r="AB137" s="8"/>
      <c r="AC137" s="8" t="s">
        <v>1912</v>
      </c>
      <c r="AD137" s="8" t="s">
        <v>1312</v>
      </c>
      <c r="AE137" s="8" t="s">
        <v>1313</v>
      </c>
      <c r="AF137" s="8" t="s">
        <v>1314</v>
      </c>
      <c r="AG137" s="8" t="s">
        <v>1914</v>
      </c>
      <c r="AH137" s="8"/>
      <c r="AI137" s="8" t="s">
        <v>1915</v>
      </c>
      <c r="AJ137" s="8" t="s">
        <v>1916</v>
      </c>
      <c r="AK137" s="8" t="s">
        <v>164</v>
      </c>
      <c r="AL137" s="8"/>
    </row>
    <row r="138" ht="15.75" customHeight="1">
      <c r="A138" s="7">
        <v>137.0</v>
      </c>
      <c r="B138" s="8" t="s">
        <v>1917</v>
      </c>
      <c r="C138" s="9" t="s">
        <v>1918</v>
      </c>
      <c r="D138" s="8" t="s">
        <v>137</v>
      </c>
      <c r="E138" s="8" t="s">
        <v>1559</v>
      </c>
      <c r="F138" s="10">
        <v>0.0</v>
      </c>
      <c r="G138" s="10">
        <f t="shared" si="1"/>
        <v>0</v>
      </c>
      <c r="H138" s="8"/>
      <c r="I138" s="8" t="s">
        <v>1919</v>
      </c>
      <c r="J138" s="8" t="s">
        <v>164</v>
      </c>
      <c r="K138" s="8"/>
      <c r="L138" s="8"/>
      <c r="M138" s="8" t="s">
        <v>144</v>
      </c>
      <c r="N138" s="8" t="s">
        <v>170</v>
      </c>
      <c r="O138" s="8" t="s">
        <v>164</v>
      </c>
      <c r="P138" s="11"/>
      <c r="Q138" s="8"/>
      <c r="R138" s="8" t="s">
        <v>172</v>
      </c>
      <c r="S138" s="8" t="s">
        <v>173</v>
      </c>
      <c r="T138" s="8" t="s">
        <v>174</v>
      </c>
      <c r="U138" s="8" t="s">
        <v>173</v>
      </c>
      <c r="V138" s="8" t="s">
        <v>164</v>
      </c>
      <c r="W138" s="8"/>
      <c r="X138" s="8" t="s">
        <v>289</v>
      </c>
      <c r="Y138" s="8" t="s">
        <v>176</v>
      </c>
      <c r="Z138" s="8" t="s">
        <v>1921</v>
      </c>
      <c r="AA138" s="8" t="s">
        <v>164</v>
      </c>
      <c r="AB138" s="8" t="s">
        <v>178</v>
      </c>
      <c r="AC138" s="8" t="s">
        <v>1922</v>
      </c>
      <c r="AD138" s="8" t="s">
        <v>180</v>
      </c>
      <c r="AE138" s="8" t="s">
        <v>181</v>
      </c>
      <c r="AF138" s="8" t="s">
        <v>182</v>
      </c>
      <c r="AG138" s="8" t="s">
        <v>182</v>
      </c>
      <c r="AH138" s="8"/>
      <c r="AI138" s="8"/>
      <c r="AJ138" s="8" t="s">
        <v>1923</v>
      </c>
      <c r="AK138" s="8" t="s">
        <v>141</v>
      </c>
      <c r="AL138" s="8" t="s">
        <v>1924</v>
      </c>
    </row>
    <row r="139" ht="15.75" customHeight="1">
      <c r="A139" s="7">
        <v>138.0</v>
      </c>
      <c r="B139" s="8" t="s">
        <v>1925</v>
      </c>
      <c r="C139" s="9" t="s">
        <v>1926</v>
      </c>
      <c r="D139" s="8" t="s">
        <v>137</v>
      </c>
      <c r="E139" s="8" t="s">
        <v>1825</v>
      </c>
      <c r="F139" s="10">
        <v>0.0</v>
      </c>
      <c r="G139" s="10">
        <f t="shared" si="1"/>
        <v>0</v>
      </c>
      <c r="H139" s="8"/>
      <c r="I139" s="8" t="s">
        <v>1927</v>
      </c>
      <c r="J139" s="8" t="s">
        <v>164</v>
      </c>
      <c r="K139" s="8"/>
      <c r="L139" s="8"/>
      <c r="M139" s="8" t="s">
        <v>261</v>
      </c>
      <c r="N139" s="8" t="s">
        <v>170</v>
      </c>
      <c r="O139" s="8" t="s">
        <v>164</v>
      </c>
      <c r="P139" s="11"/>
      <c r="Q139" s="8"/>
      <c r="R139" s="8" t="s">
        <v>172</v>
      </c>
      <c r="S139" s="8" t="s">
        <v>173</v>
      </c>
      <c r="T139" s="8" t="s">
        <v>174</v>
      </c>
      <c r="U139" s="8" t="s">
        <v>173</v>
      </c>
      <c r="V139" s="8" t="s">
        <v>164</v>
      </c>
      <c r="W139" s="8"/>
      <c r="X139" s="8" t="s">
        <v>289</v>
      </c>
      <c r="Y139" s="8" t="s">
        <v>176</v>
      </c>
      <c r="Z139" s="8" t="s">
        <v>1928</v>
      </c>
      <c r="AA139" s="8" t="s">
        <v>164</v>
      </c>
      <c r="AB139" s="8" t="s">
        <v>178</v>
      </c>
      <c r="AC139" s="8" t="s">
        <v>1929</v>
      </c>
      <c r="AD139" s="8" t="s">
        <v>180</v>
      </c>
      <c r="AE139" s="8" t="s">
        <v>181</v>
      </c>
      <c r="AF139" s="8" t="s">
        <v>182</v>
      </c>
      <c r="AG139" s="8" t="s">
        <v>182</v>
      </c>
      <c r="AH139" s="8"/>
      <c r="AI139" s="8"/>
      <c r="AJ139" s="8" t="s">
        <v>1930</v>
      </c>
      <c r="AK139" s="8" t="s">
        <v>141</v>
      </c>
      <c r="AL139" s="8" t="s">
        <v>1931</v>
      </c>
    </row>
    <row r="140" ht="15.75" customHeight="1">
      <c r="A140" s="7">
        <v>139.0</v>
      </c>
      <c r="B140" s="8" t="s">
        <v>1932</v>
      </c>
      <c r="C140" s="9" t="s">
        <v>1933</v>
      </c>
      <c r="D140" s="8" t="s">
        <v>137</v>
      </c>
      <c r="E140" s="8" t="s">
        <v>1559</v>
      </c>
      <c r="F140" s="10">
        <v>20.0</v>
      </c>
      <c r="G140" s="10">
        <f t="shared" si="1"/>
        <v>240</v>
      </c>
      <c r="H140" s="8"/>
      <c r="I140" s="8" t="s">
        <v>1934</v>
      </c>
      <c r="J140" s="8" t="s">
        <v>164</v>
      </c>
      <c r="K140" s="8"/>
      <c r="L140" s="8"/>
      <c r="M140" s="8" t="s">
        <v>144</v>
      </c>
      <c r="N140" s="8" t="s">
        <v>170</v>
      </c>
      <c r="O140" s="8" t="s">
        <v>164</v>
      </c>
      <c r="P140" s="11"/>
      <c r="Q140" s="8"/>
      <c r="R140" s="8" t="s">
        <v>172</v>
      </c>
      <c r="S140" s="8" t="s">
        <v>173</v>
      </c>
      <c r="T140" s="8" t="s">
        <v>174</v>
      </c>
      <c r="U140" s="8" t="s">
        <v>173</v>
      </c>
      <c r="V140" s="8" t="s">
        <v>164</v>
      </c>
      <c r="W140" s="8"/>
      <c r="X140" s="8" t="s">
        <v>289</v>
      </c>
      <c r="Y140" s="8" t="s">
        <v>176</v>
      </c>
      <c r="Z140" s="8" t="s">
        <v>1935</v>
      </c>
      <c r="AA140" s="8" t="s">
        <v>164</v>
      </c>
      <c r="AB140" s="8" t="s">
        <v>178</v>
      </c>
      <c r="AC140" s="8" t="s">
        <v>415</v>
      </c>
      <c r="AD140" s="8" t="s">
        <v>180</v>
      </c>
      <c r="AE140" s="8" t="s">
        <v>181</v>
      </c>
      <c r="AF140" s="8" t="s">
        <v>182</v>
      </c>
      <c r="AG140" s="8" t="s">
        <v>182</v>
      </c>
      <c r="AH140" s="8"/>
      <c r="AI140" s="8"/>
      <c r="AJ140" s="8" t="s">
        <v>1936</v>
      </c>
      <c r="AK140" s="8" t="s">
        <v>141</v>
      </c>
      <c r="AL140" s="8" t="s">
        <v>1937</v>
      </c>
    </row>
    <row r="141" ht="15.75" customHeight="1">
      <c r="A141" s="7">
        <v>140.0</v>
      </c>
      <c r="B141" s="8" t="s">
        <v>1938</v>
      </c>
      <c r="C141" s="9" t="s">
        <v>1939</v>
      </c>
      <c r="D141" s="8" t="s">
        <v>137</v>
      </c>
      <c r="E141" s="8" t="s">
        <v>285</v>
      </c>
      <c r="F141" s="10">
        <v>40.0</v>
      </c>
      <c r="G141" s="10">
        <f t="shared" si="1"/>
        <v>480</v>
      </c>
      <c r="H141" s="8" t="s">
        <v>548</v>
      </c>
      <c r="I141" s="8" t="s">
        <v>1940</v>
      </c>
      <c r="J141" s="8" t="s">
        <v>164</v>
      </c>
      <c r="K141" s="8"/>
      <c r="L141" s="8"/>
      <c r="M141" s="8" t="s">
        <v>144</v>
      </c>
      <c r="N141" s="8" t="s">
        <v>170</v>
      </c>
      <c r="O141" s="8" t="s">
        <v>164</v>
      </c>
      <c r="P141" s="11"/>
      <c r="Q141" s="8"/>
      <c r="R141" s="8" t="s">
        <v>172</v>
      </c>
      <c r="S141" s="8" t="s">
        <v>173</v>
      </c>
      <c r="T141" s="8" t="s">
        <v>174</v>
      </c>
      <c r="U141" s="8" t="s">
        <v>173</v>
      </c>
      <c r="V141" s="8" t="s">
        <v>164</v>
      </c>
      <c r="W141" s="8"/>
      <c r="X141" s="8" t="s">
        <v>289</v>
      </c>
      <c r="Y141" s="8" t="s">
        <v>249</v>
      </c>
      <c r="Z141" s="8" t="s">
        <v>1941</v>
      </c>
      <c r="AA141" s="8" t="s">
        <v>164</v>
      </c>
      <c r="AB141" s="8" t="s">
        <v>178</v>
      </c>
      <c r="AC141" s="8" t="s">
        <v>415</v>
      </c>
      <c r="AD141" s="8" t="s">
        <v>180</v>
      </c>
      <c r="AE141" s="8" t="s">
        <v>181</v>
      </c>
      <c r="AF141" s="8" t="s">
        <v>182</v>
      </c>
      <c r="AG141" s="8" t="s">
        <v>182</v>
      </c>
      <c r="AH141" s="8"/>
      <c r="AI141" s="8"/>
      <c r="AJ141" s="8" t="s">
        <v>1942</v>
      </c>
      <c r="AK141" s="8" t="s">
        <v>141</v>
      </c>
      <c r="AL141" s="8" t="s">
        <v>1943</v>
      </c>
    </row>
    <row r="142" ht="15.75" customHeight="1">
      <c r="A142" s="7">
        <v>141.0</v>
      </c>
      <c r="B142" s="8" t="s">
        <v>1944</v>
      </c>
      <c r="C142" s="9" t="s">
        <v>1945</v>
      </c>
      <c r="D142" s="8" t="s">
        <v>137</v>
      </c>
      <c r="E142" s="8" t="s">
        <v>1559</v>
      </c>
      <c r="F142" s="10">
        <v>20.0</v>
      </c>
      <c r="G142" s="10">
        <f t="shared" si="1"/>
        <v>240</v>
      </c>
      <c r="H142" s="8" t="s">
        <v>1834</v>
      </c>
      <c r="I142" s="8" t="s">
        <v>1946</v>
      </c>
      <c r="J142" s="8" t="s">
        <v>164</v>
      </c>
      <c r="K142" s="8"/>
      <c r="L142" s="8"/>
      <c r="M142" s="8" t="s">
        <v>261</v>
      </c>
      <c r="N142" s="8" t="s">
        <v>170</v>
      </c>
      <c r="O142" s="8" t="s">
        <v>164</v>
      </c>
      <c r="P142" s="11"/>
      <c r="Q142" s="8"/>
      <c r="R142" s="8" t="s">
        <v>172</v>
      </c>
      <c r="S142" s="8" t="s">
        <v>474</v>
      </c>
      <c r="T142" s="8" t="s">
        <v>477</v>
      </c>
      <c r="U142" s="8" t="s">
        <v>474</v>
      </c>
      <c r="V142" s="8" t="s">
        <v>164</v>
      </c>
      <c r="W142" s="8"/>
      <c r="X142" s="8" t="s">
        <v>289</v>
      </c>
      <c r="Y142" s="8" t="s">
        <v>193</v>
      </c>
      <c r="Z142" s="8" t="s">
        <v>1947</v>
      </c>
      <c r="AA142" s="8" t="s">
        <v>195</v>
      </c>
      <c r="AB142" s="8"/>
      <c r="AC142" s="8" t="s">
        <v>1948</v>
      </c>
      <c r="AD142" s="8" t="s">
        <v>1312</v>
      </c>
      <c r="AE142" s="8" t="s">
        <v>1313</v>
      </c>
      <c r="AF142" s="8" t="s">
        <v>1314</v>
      </c>
      <c r="AG142" s="8" t="s">
        <v>1949</v>
      </c>
      <c r="AH142" s="8"/>
      <c r="AI142" s="8"/>
      <c r="AJ142" s="8" t="s">
        <v>1950</v>
      </c>
      <c r="AK142" s="8" t="s">
        <v>164</v>
      </c>
      <c r="AL142" s="8"/>
    </row>
    <row r="143" ht="15.75" customHeight="1">
      <c r="A143" s="7">
        <v>142.0</v>
      </c>
      <c r="B143" s="8" t="s">
        <v>1951</v>
      </c>
      <c r="C143" s="9" t="s">
        <v>1952</v>
      </c>
      <c r="D143" s="8" t="s">
        <v>137</v>
      </c>
      <c r="E143" s="8" t="s">
        <v>1559</v>
      </c>
      <c r="F143" s="10">
        <v>25.0</v>
      </c>
      <c r="G143" s="10">
        <f t="shared" si="1"/>
        <v>300</v>
      </c>
      <c r="H143" s="8" t="s">
        <v>1834</v>
      </c>
      <c r="I143" s="8" t="s">
        <v>1953</v>
      </c>
      <c r="J143" s="8" t="s">
        <v>164</v>
      </c>
      <c r="K143" s="8"/>
      <c r="L143" s="8"/>
      <c r="M143" s="8" t="s">
        <v>261</v>
      </c>
      <c r="N143" s="8" t="s">
        <v>170</v>
      </c>
      <c r="O143" s="8" t="s">
        <v>164</v>
      </c>
      <c r="P143" s="11"/>
      <c r="Q143" s="8"/>
      <c r="R143" s="8" t="s">
        <v>172</v>
      </c>
      <c r="S143" s="8" t="s">
        <v>474</v>
      </c>
      <c r="T143" s="8" t="s">
        <v>477</v>
      </c>
      <c r="U143" s="8" t="s">
        <v>474</v>
      </c>
      <c r="V143" s="8" t="s">
        <v>164</v>
      </c>
      <c r="W143" s="8"/>
      <c r="X143" s="8" t="s">
        <v>289</v>
      </c>
      <c r="Y143" s="8" t="s">
        <v>154</v>
      </c>
      <c r="Z143" s="8" t="s">
        <v>1954</v>
      </c>
      <c r="AA143" s="8" t="s">
        <v>141</v>
      </c>
      <c r="AB143" s="8"/>
      <c r="AC143" s="8" t="s">
        <v>1955</v>
      </c>
      <c r="AD143" s="8" t="s">
        <v>1312</v>
      </c>
      <c r="AE143" s="8" t="s">
        <v>1313</v>
      </c>
      <c r="AF143" s="8" t="s">
        <v>1314</v>
      </c>
      <c r="AG143" s="8" t="s">
        <v>1956</v>
      </c>
      <c r="AH143" s="8" t="s">
        <v>1856</v>
      </c>
      <c r="AI143" s="8"/>
      <c r="AJ143" s="8" t="s">
        <v>1957</v>
      </c>
      <c r="AK143" s="8" t="s">
        <v>164</v>
      </c>
      <c r="AL143" s="8"/>
    </row>
    <row r="144" ht="15.75" customHeight="1">
      <c r="A144" s="7">
        <v>143.0</v>
      </c>
      <c r="B144" s="8" t="s">
        <v>1958</v>
      </c>
      <c r="C144" s="9" t="s">
        <v>1959</v>
      </c>
      <c r="D144" s="8" t="s">
        <v>137</v>
      </c>
      <c r="E144" s="8" t="s">
        <v>1559</v>
      </c>
      <c r="F144" s="10">
        <v>5.0</v>
      </c>
      <c r="G144" s="10">
        <f t="shared" si="1"/>
        <v>60</v>
      </c>
      <c r="H144" s="8"/>
      <c r="I144" s="8" t="s">
        <v>1960</v>
      </c>
      <c r="J144" s="8" t="s">
        <v>164</v>
      </c>
      <c r="K144" s="8"/>
      <c r="L144" s="8"/>
      <c r="M144" s="8" t="s">
        <v>261</v>
      </c>
      <c r="N144" s="8" t="s">
        <v>170</v>
      </c>
      <c r="O144" s="8" t="s">
        <v>164</v>
      </c>
      <c r="P144" s="11"/>
      <c r="Q144" s="8"/>
      <c r="R144" s="8" t="s">
        <v>172</v>
      </c>
      <c r="S144" s="8" t="s">
        <v>173</v>
      </c>
      <c r="T144" s="8" t="s">
        <v>174</v>
      </c>
      <c r="U144" s="8" t="s">
        <v>173</v>
      </c>
      <c r="V144" s="8" t="s">
        <v>164</v>
      </c>
      <c r="W144" s="8"/>
      <c r="X144" s="8" t="s">
        <v>289</v>
      </c>
      <c r="Y144" s="8" t="s">
        <v>176</v>
      </c>
      <c r="Z144" s="8" t="s">
        <v>1961</v>
      </c>
      <c r="AA144" s="8" t="s">
        <v>164</v>
      </c>
      <c r="AB144" s="8" t="s">
        <v>178</v>
      </c>
      <c r="AC144" s="8" t="s">
        <v>1219</v>
      </c>
      <c r="AD144" s="8" t="s">
        <v>180</v>
      </c>
      <c r="AE144" s="8" t="s">
        <v>181</v>
      </c>
      <c r="AF144" s="8" t="s">
        <v>182</v>
      </c>
      <c r="AG144" s="8" t="s">
        <v>1962</v>
      </c>
      <c r="AH144" s="8"/>
      <c r="AI144" s="8" t="s">
        <v>1963</v>
      </c>
      <c r="AJ144" s="8" t="s">
        <v>1964</v>
      </c>
      <c r="AK144" s="8" t="s">
        <v>141</v>
      </c>
      <c r="AL144" s="8" t="s">
        <v>1965</v>
      </c>
    </row>
    <row r="145" ht="15.75" customHeight="1">
      <c r="A145" s="7">
        <v>144.0</v>
      </c>
      <c r="B145" s="8" t="s">
        <v>1966</v>
      </c>
      <c r="C145" s="9" t="s">
        <v>1967</v>
      </c>
      <c r="D145" s="8" t="s">
        <v>137</v>
      </c>
      <c r="E145" s="8" t="s">
        <v>1559</v>
      </c>
      <c r="F145" s="10">
        <v>10.0</v>
      </c>
      <c r="G145" s="10">
        <f t="shared" si="1"/>
        <v>120</v>
      </c>
      <c r="H145" s="8"/>
      <c r="I145" s="8" t="s">
        <v>1968</v>
      </c>
      <c r="J145" s="8" t="s">
        <v>164</v>
      </c>
      <c r="K145" s="8"/>
      <c r="L145" s="8"/>
      <c r="M145" s="8" t="s">
        <v>261</v>
      </c>
      <c r="N145" s="8" t="s">
        <v>170</v>
      </c>
      <c r="O145" s="8" t="s">
        <v>164</v>
      </c>
      <c r="P145" s="11"/>
      <c r="Q145" s="8"/>
      <c r="R145" s="8" t="s">
        <v>172</v>
      </c>
      <c r="S145" s="8" t="s">
        <v>474</v>
      </c>
      <c r="T145" s="8" t="s">
        <v>477</v>
      </c>
      <c r="U145" s="8" t="s">
        <v>474</v>
      </c>
      <c r="V145" s="8" t="s">
        <v>164</v>
      </c>
      <c r="W145" s="8"/>
      <c r="X145" s="8" t="s">
        <v>289</v>
      </c>
      <c r="Y145" s="8" t="s">
        <v>193</v>
      </c>
      <c r="Z145" s="8" t="s">
        <v>1969</v>
      </c>
      <c r="AA145" s="8" t="s">
        <v>141</v>
      </c>
      <c r="AB145" s="8"/>
      <c r="AC145" s="8" t="s">
        <v>1160</v>
      </c>
      <c r="AD145" s="8" t="s">
        <v>180</v>
      </c>
      <c r="AE145" s="8" t="s">
        <v>181</v>
      </c>
      <c r="AF145" s="8" t="s">
        <v>182</v>
      </c>
      <c r="AG145" s="8" t="s">
        <v>182</v>
      </c>
      <c r="AH145" s="8"/>
      <c r="AI145" s="8"/>
      <c r="AJ145" s="8" t="s">
        <v>1970</v>
      </c>
      <c r="AK145" s="8" t="s">
        <v>164</v>
      </c>
      <c r="AL145" s="8"/>
    </row>
    <row r="146" ht="15.75" customHeight="1">
      <c r="A146" s="7">
        <v>145.0</v>
      </c>
      <c r="B146" s="8" t="s">
        <v>1971</v>
      </c>
      <c r="C146" s="9" t="s">
        <v>514</v>
      </c>
      <c r="D146" s="8" t="s">
        <v>137</v>
      </c>
      <c r="E146" s="8" t="s">
        <v>1825</v>
      </c>
      <c r="F146" s="10">
        <v>5.0</v>
      </c>
      <c r="G146" s="10">
        <f t="shared" si="1"/>
        <v>60</v>
      </c>
      <c r="H146" s="8"/>
      <c r="I146" s="8" t="s">
        <v>246</v>
      </c>
      <c r="J146" s="8" t="s">
        <v>141</v>
      </c>
      <c r="K146" s="8" t="s">
        <v>169</v>
      </c>
      <c r="L146" s="8" t="s">
        <v>1396</v>
      </c>
      <c r="M146" s="8" t="s">
        <v>144</v>
      </c>
      <c r="N146" s="8" t="s">
        <v>145</v>
      </c>
      <c r="O146" s="8" t="s">
        <v>141</v>
      </c>
      <c r="P146" s="11">
        <v>0.7</v>
      </c>
      <c r="Q146" s="8" t="s">
        <v>516</v>
      </c>
      <c r="R146" s="8" t="s">
        <v>147</v>
      </c>
      <c r="S146" s="8" t="s">
        <v>148</v>
      </c>
      <c r="T146" s="8" t="s">
        <v>149</v>
      </c>
      <c r="U146" s="8" t="s">
        <v>150</v>
      </c>
      <c r="V146" s="8" t="s">
        <v>151</v>
      </c>
      <c r="W146" s="8" t="s">
        <v>152</v>
      </c>
      <c r="X146" s="8" t="s">
        <v>289</v>
      </c>
      <c r="Y146" s="8" t="s">
        <v>154</v>
      </c>
      <c r="Z146" s="8" t="s">
        <v>1972</v>
      </c>
      <c r="AA146" s="8" t="s">
        <v>141</v>
      </c>
      <c r="AB146" s="8"/>
      <c r="AC146" s="8" t="s">
        <v>280</v>
      </c>
      <c r="AD146" s="8" t="s">
        <v>180</v>
      </c>
      <c r="AE146" s="8" t="s">
        <v>181</v>
      </c>
      <c r="AF146" s="8" t="s">
        <v>182</v>
      </c>
      <c r="AG146" s="8" t="s">
        <v>1973</v>
      </c>
      <c r="AH146" s="8"/>
      <c r="AI146" s="8"/>
      <c r="AJ146" s="8" t="s">
        <v>1974</v>
      </c>
      <c r="AK146" s="8" t="s">
        <v>141</v>
      </c>
      <c r="AL146" s="8" t="s">
        <v>1975</v>
      </c>
    </row>
    <row r="147" ht="15.75" customHeight="1">
      <c r="A147" s="7">
        <v>146.0</v>
      </c>
      <c r="B147" s="8" t="s">
        <v>1976</v>
      </c>
      <c r="C147" s="9" t="s">
        <v>427</v>
      </c>
      <c r="D147" s="8" t="s">
        <v>137</v>
      </c>
      <c r="E147" s="8" t="s">
        <v>1685</v>
      </c>
      <c r="F147" s="10">
        <v>150.0</v>
      </c>
      <c r="G147" s="10">
        <f t="shared" si="1"/>
        <v>1800</v>
      </c>
      <c r="H147" s="8" t="s">
        <v>1977</v>
      </c>
      <c r="I147" s="8" t="s">
        <v>1978</v>
      </c>
      <c r="J147" s="8" t="s">
        <v>141</v>
      </c>
      <c r="K147" s="8" t="s">
        <v>259</v>
      </c>
      <c r="L147" s="8"/>
      <c r="M147" s="8" t="s">
        <v>144</v>
      </c>
      <c r="N147" s="8" t="s">
        <v>145</v>
      </c>
      <c r="O147" s="8" t="s">
        <v>141</v>
      </c>
      <c r="P147" s="11">
        <v>0.9</v>
      </c>
      <c r="Q147" s="8" t="s">
        <v>429</v>
      </c>
      <c r="R147" s="8" t="s">
        <v>207</v>
      </c>
      <c r="S147" s="8" t="s">
        <v>148</v>
      </c>
      <c r="T147" s="8" t="s">
        <v>149</v>
      </c>
      <c r="U147" s="8" t="s">
        <v>148</v>
      </c>
      <c r="V147" s="8" t="s">
        <v>151</v>
      </c>
      <c r="W147" s="8" t="s">
        <v>152</v>
      </c>
      <c r="X147" s="8" t="s">
        <v>289</v>
      </c>
      <c r="Y147" s="8" t="s">
        <v>154</v>
      </c>
      <c r="Z147" s="8" t="s">
        <v>1979</v>
      </c>
      <c r="AA147" s="8" t="s">
        <v>141</v>
      </c>
      <c r="AB147" s="8"/>
      <c r="AC147" s="8" t="s">
        <v>1980</v>
      </c>
      <c r="AD147" s="8" t="s">
        <v>750</v>
      </c>
      <c r="AE147" s="8" t="s">
        <v>751</v>
      </c>
      <c r="AF147" s="8" t="s">
        <v>1300</v>
      </c>
      <c r="AG147" s="8" t="s">
        <v>1981</v>
      </c>
      <c r="AH147" s="8" t="s">
        <v>1436</v>
      </c>
      <c r="AI147" s="8"/>
      <c r="AJ147" s="8" t="s">
        <v>1982</v>
      </c>
      <c r="AK147" s="8" t="s">
        <v>164</v>
      </c>
      <c r="AL147" s="8"/>
    </row>
    <row r="148" ht="15.75" customHeight="1">
      <c r="A148" s="7">
        <v>147.0</v>
      </c>
      <c r="B148" s="8" t="s">
        <v>1983</v>
      </c>
      <c r="C148" s="9" t="s">
        <v>617</v>
      </c>
      <c r="D148" s="8" t="s">
        <v>137</v>
      </c>
      <c r="E148" s="8" t="s">
        <v>1685</v>
      </c>
      <c r="F148" s="10">
        <v>200.0</v>
      </c>
      <c r="G148" s="10">
        <f t="shared" si="1"/>
        <v>2400</v>
      </c>
      <c r="H148" s="8"/>
      <c r="I148" s="8" t="s">
        <v>1984</v>
      </c>
      <c r="J148" s="8" t="s">
        <v>141</v>
      </c>
      <c r="K148" s="8" t="s">
        <v>1620</v>
      </c>
      <c r="L148" s="8"/>
      <c r="M148" s="8" t="s">
        <v>144</v>
      </c>
      <c r="N148" s="8" t="s">
        <v>145</v>
      </c>
      <c r="O148" s="8" t="s">
        <v>141</v>
      </c>
      <c r="P148" s="11">
        <v>0.4</v>
      </c>
      <c r="Q148" s="8" t="s">
        <v>618</v>
      </c>
      <c r="R148" s="8" t="s">
        <v>147</v>
      </c>
      <c r="S148" s="8" t="s">
        <v>148</v>
      </c>
      <c r="T148" s="8" t="s">
        <v>149</v>
      </c>
      <c r="U148" s="8" t="s">
        <v>150</v>
      </c>
      <c r="V148" s="8" t="s">
        <v>151</v>
      </c>
      <c r="W148" s="8" t="s">
        <v>152</v>
      </c>
      <c r="X148" s="8" t="s">
        <v>289</v>
      </c>
      <c r="Y148" s="8" t="s">
        <v>193</v>
      </c>
      <c r="Z148" s="8" t="s">
        <v>1985</v>
      </c>
      <c r="AA148" s="8" t="s">
        <v>195</v>
      </c>
      <c r="AB148" s="8"/>
      <c r="AC148" s="8" t="s">
        <v>280</v>
      </c>
      <c r="AD148" s="8" t="s">
        <v>750</v>
      </c>
      <c r="AE148" s="8" t="s">
        <v>751</v>
      </c>
      <c r="AF148" s="8" t="s">
        <v>1300</v>
      </c>
      <c r="AG148" s="8" t="s">
        <v>1986</v>
      </c>
      <c r="AH148" s="8" t="s">
        <v>1436</v>
      </c>
      <c r="AI148" s="8"/>
      <c r="AJ148" s="8" t="s">
        <v>1987</v>
      </c>
      <c r="AK148" s="8" t="s">
        <v>164</v>
      </c>
      <c r="AL148" s="8"/>
    </row>
    <row r="149" ht="15.75" customHeight="1">
      <c r="A149" s="7">
        <v>148.0</v>
      </c>
      <c r="B149" s="8" t="s">
        <v>1988</v>
      </c>
      <c r="C149" s="9" t="s">
        <v>1989</v>
      </c>
      <c r="D149" s="8" t="s">
        <v>137</v>
      </c>
      <c r="E149" s="8" t="s">
        <v>1685</v>
      </c>
      <c r="F149" s="10">
        <v>250.0</v>
      </c>
      <c r="G149" s="10">
        <f t="shared" si="1"/>
        <v>3000</v>
      </c>
      <c r="H149" s="8" t="s">
        <v>1990</v>
      </c>
      <c r="I149" s="8" t="s">
        <v>1991</v>
      </c>
      <c r="J149" s="8" t="s">
        <v>164</v>
      </c>
      <c r="K149" s="8"/>
      <c r="L149" s="8"/>
      <c r="M149" s="8" t="s">
        <v>144</v>
      </c>
      <c r="N149" s="8" t="s">
        <v>170</v>
      </c>
      <c r="O149" s="8" t="s">
        <v>164</v>
      </c>
      <c r="P149" s="11"/>
      <c r="Q149" s="8"/>
      <c r="R149" s="8" t="s">
        <v>172</v>
      </c>
      <c r="S149" s="8" t="s">
        <v>173</v>
      </c>
      <c r="T149" s="8" t="s">
        <v>174</v>
      </c>
      <c r="U149" s="8" t="s">
        <v>173</v>
      </c>
      <c r="V149" s="8" t="s">
        <v>164</v>
      </c>
      <c r="W149" s="8"/>
      <c r="X149" s="8" t="s">
        <v>289</v>
      </c>
      <c r="Y149" s="8" t="s">
        <v>176</v>
      </c>
      <c r="Z149" s="8" t="s">
        <v>1992</v>
      </c>
      <c r="AA149" s="8" t="s">
        <v>164</v>
      </c>
      <c r="AB149" s="8" t="s">
        <v>518</v>
      </c>
      <c r="AC149" s="8" t="s">
        <v>415</v>
      </c>
      <c r="AD149" s="8" t="s">
        <v>180</v>
      </c>
      <c r="AE149" s="8" t="s">
        <v>181</v>
      </c>
      <c r="AF149" s="8" t="s">
        <v>182</v>
      </c>
      <c r="AG149" s="8" t="s">
        <v>710</v>
      </c>
      <c r="AH149" s="8"/>
      <c r="AI149" s="8" t="s">
        <v>1993</v>
      </c>
      <c r="AJ149" s="8" t="s">
        <v>1994</v>
      </c>
      <c r="AK149" s="8" t="s">
        <v>141</v>
      </c>
      <c r="AL149" s="8" t="s">
        <v>1995</v>
      </c>
    </row>
    <row r="150" ht="15.75" customHeight="1">
      <c r="A150" s="7">
        <v>149.0</v>
      </c>
      <c r="B150" s="8" t="s">
        <v>1996</v>
      </c>
      <c r="C150" s="9" t="s">
        <v>1997</v>
      </c>
      <c r="D150" s="8" t="s">
        <v>137</v>
      </c>
      <c r="E150" s="8" t="s">
        <v>1685</v>
      </c>
      <c r="F150" s="10">
        <v>120.0</v>
      </c>
      <c r="G150" s="10">
        <f t="shared" si="1"/>
        <v>1440</v>
      </c>
      <c r="H150" s="8"/>
      <c r="I150" s="8" t="s">
        <v>1998</v>
      </c>
      <c r="J150" s="8" t="s">
        <v>221</v>
      </c>
      <c r="K150" s="8" t="s">
        <v>1999</v>
      </c>
      <c r="L150" s="8"/>
      <c r="M150" s="8" t="s">
        <v>144</v>
      </c>
      <c r="N150" s="8" t="s">
        <v>145</v>
      </c>
      <c r="O150" s="8" t="s">
        <v>141</v>
      </c>
      <c r="P150" s="11">
        <v>0.4</v>
      </c>
      <c r="Q150" s="8" t="s">
        <v>2000</v>
      </c>
      <c r="R150" s="8" t="s">
        <v>172</v>
      </c>
      <c r="S150" s="8" t="s">
        <v>474</v>
      </c>
      <c r="T150" s="8" t="s">
        <v>477</v>
      </c>
      <c r="U150" s="8" t="s">
        <v>474</v>
      </c>
      <c r="V150" s="8" t="s">
        <v>151</v>
      </c>
      <c r="W150" s="8"/>
      <c r="X150" s="8" t="s">
        <v>289</v>
      </c>
      <c r="Y150" s="8" t="s">
        <v>154</v>
      </c>
      <c r="Z150" s="8" t="s">
        <v>2001</v>
      </c>
      <c r="AA150" s="8" t="s">
        <v>141</v>
      </c>
      <c r="AB150" s="8"/>
      <c r="AC150" s="8" t="s">
        <v>2002</v>
      </c>
      <c r="AD150" s="8" t="s">
        <v>750</v>
      </c>
      <c r="AE150" s="8" t="s">
        <v>751</v>
      </c>
      <c r="AF150" s="8" t="s">
        <v>1300</v>
      </c>
      <c r="AG150" s="8" t="s">
        <v>2003</v>
      </c>
      <c r="AH150" s="8" t="s">
        <v>1440</v>
      </c>
      <c r="AI150" s="8"/>
      <c r="AJ150" s="8" t="s">
        <v>2004</v>
      </c>
      <c r="AK150" s="8" t="s">
        <v>164</v>
      </c>
      <c r="AL150" s="8"/>
    </row>
    <row r="151" ht="15.75" customHeight="1">
      <c r="A151" s="7">
        <v>150.0</v>
      </c>
      <c r="B151" s="8" t="s">
        <v>2005</v>
      </c>
      <c r="C151" s="9" t="s">
        <v>2006</v>
      </c>
      <c r="D151" s="8" t="s">
        <v>137</v>
      </c>
      <c r="E151" s="8" t="s">
        <v>1685</v>
      </c>
      <c r="F151" s="10">
        <v>150.0</v>
      </c>
      <c r="G151" s="10">
        <f t="shared" si="1"/>
        <v>1800</v>
      </c>
      <c r="H151" s="8"/>
      <c r="I151" s="8" t="s">
        <v>1953</v>
      </c>
      <c r="J151" s="8" t="s">
        <v>164</v>
      </c>
      <c r="K151" s="8"/>
      <c r="L151" s="8"/>
      <c r="M151" s="8" t="s">
        <v>261</v>
      </c>
      <c r="N151" s="8" t="s">
        <v>170</v>
      </c>
      <c r="O151" s="8" t="s">
        <v>164</v>
      </c>
      <c r="P151" s="11"/>
      <c r="Q151" s="8"/>
      <c r="R151" s="8" t="s">
        <v>172</v>
      </c>
      <c r="S151" s="8" t="s">
        <v>474</v>
      </c>
      <c r="T151" s="8" t="s">
        <v>477</v>
      </c>
      <c r="U151" s="8" t="s">
        <v>474</v>
      </c>
      <c r="V151" s="8" t="s">
        <v>164</v>
      </c>
      <c r="W151" s="8"/>
      <c r="X151" s="8" t="s">
        <v>289</v>
      </c>
      <c r="Y151" s="8" t="s">
        <v>193</v>
      </c>
      <c r="Z151" s="8" t="s">
        <v>2007</v>
      </c>
      <c r="AA151" s="8" t="s">
        <v>195</v>
      </c>
      <c r="AB151" s="8"/>
      <c r="AC151" s="8" t="s">
        <v>2008</v>
      </c>
      <c r="AD151" s="8" t="s">
        <v>750</v>
      </c>
      <c r="AE151" s="8" t="s">
        <v>751</v>
      </c>
      <c r="AF151" s="8" t="s">
        <v>1300</v>
      </c>
      <c r="AG151" s="8" t="s">
        <v>2009</v>
      </c>
      <c r="AH151" s="8" t="s">
        <v>1480</v>
      </c>
      <c r="AI151" s="8"/>
      <c r="AJ151" s="8" t="s">
        <v>2010</v>
      </c>
      <c r="AK151" s="8" t="s">
        <v>164</v>
      </c>
      <c r="AL151" s="8"/>
    </row>
    <row r="152" ht="15.75" customHeight="1">
      <c r="A152" s="7">
        <v>151.0</v>
      </c>
      <c r="B152" s="8" t="s">
        <v>2011</v>
      </c>
      <c r="C152" s="9" t="s">
        <v>2012</v>
      </c>
      <c r="D152" s="8" t="s">
        <v>137</v>
      </c>
      <c r="E152" s="8" t="s">
        <v>1685</v>
      </c>
      <c r="F152" s="10">
        <v>120.0</v>
      </c>
      <c r="G152" s="10">
        <f t="shared" si="1"/>
        <v>1440</v>
      </c>
      <c r="H152" s="8"/>
      <c r="I152" s="8" t="s">
        <v>2013</v>
      </c>
      <c r="J152" s="8" t="s">
        <v>221</v>
      </c>
      <c r="K152" s="8" t="s">
        <v>169</v>
      </c>
      <c r="L152" s="8"/>
      <c r="M152" s="8" t="s">
        <v>144</v>
      </c>
      <c r="N152" s="8" t="s">
        <v>145</v>
      </c>
      <c r="O152" s="8" t="s">
        <v>141</v>
      </c>
      <c r="P152" s="11">
        <v>0.3</v>
      </c>
      <c r="Q152" s="8" t="s">
        <v>2014</v>
      </c>
      <c r="R152" s="8" t="s">
        <v>172</v>
      </c>
      <c r="S152" s="8" t="s">
        <v>474</v>
      </c>
      <c r="T152" s="8" t="s">
        <v>477</v>
      </c>
      <c r="U152" s="8" t="s">
        <v>474</v>
      </c>
      <c r="V152" s="8" t="s">
        <v>151</v>
      </c>
      <c r="W152" s="8"/>
      <c r="X152" s="8" t="s">
        <v>289</v>
      </c>
      <c r="Y152" s="8" t="s">
        <v>193</v>
      </c>
      <c r="Z152" s="8" t="s">
        <v>2015</v>
      </c>
      <c r="AA152" s="8" t="s">
        <v>195</v>
      </c>
      <c r="AB152" s="8"/>
      <c r="AC152" s="8" t="s">
        <v>2016</v>
      </c>
      <c r="AD152" s="8" t="s">
        <v>750</v>
      </c>
      <c r="AE152" s="8" t="s">
        <v>751</v>
      </c>
      <c r="AF152" s="8" t="s">
        <v>1300</v>
      </c>
      <c r="AG152" s="8" t="s">
        <v>2017</v>
      </c>
      <c r="AH152" s="8"/>
      <c r="AI152" s="8"/>
      <c r="AJ152" s="8" t="s">
        <v>2018</v>
      </c>
      <c r="AK152" s="8" t="s">
        <v>164</v>
      </c>
      <c r="AL152" s="8"/>
    </row>
    <row r="153" ht="15.75" customHeight="1">
      <c r="A153" s="7">
        <v>152.0</v>
      </c>
      <c r="B153" s="8" t="s">
        <v>2019</v>
      </c>
      <c r="C153" s="9" t="s">
        <v>2020</v>
      </c>
      <c r="D153" s="8" t="s">
        <v>137</v>
      </c>
      <c r="E153" s="8" t="s">
        <v>1685</v>
      </c>
      <c r="F153" s="10">
        <v>100.0</v>
      </c>
      <c r="G153" s="10">
        <f t="shared" si="1"/>
        <v>1200</v>
      </c>
      <c r="H153" s="8"/>
      <c r="I153" s="8" t="s">
        <v>2021</v>
      </c>
      <c r="J153" s="8" t="s">
        <v>164</v>
      </c>
      <c r="K153" s="8"/>
      <c r="L153" s="8"/>
      <c r="M153" s="8" t="s">
        <v>144</v>
      </c>
      <c r="N153" s="8" t="s">
        <v>170</v>
      </c>
      <c r="O153" s="8" t="s">
        <v>164</v>
      </c>
      <c r="P153" s="11"/>
      <c r="Q153" s="8"/>
      <c r="R153" s="8" t="s">
        <v>172</v>
      </c>
      <c r="S153" s="8" t="s">
        <v>474</v>
      </c>
      <c r="T153" s="8" t="s">
        <v>477</v>
      </c>
      <c r="U153" s="8" t="s">
        <v>474</v>
      </c>
      <c r="V153" s="8" t="s">
        <v>164</v>
      </c>
      <c r="W153" s="8"/>
      <c r="X153" s="8" t="s">
        <v>289</v>
      </c>
      <c r="Y153" s="8" t="s">
        <v>193</v>
      </c>
      <c r="Z153" s="8" t="s">
        <v>2022</v>
      </c>
      <c r="AA153" s="8" t="s">
        <v>195</v>
      </c>
      <c r="AB153" s="8"/>
      <c r="AC153" s="8" t="s">
        <v>2023</v>
      </c>
      <c r="AD153" s="8" t="s">
        <v>750</v>
      </c>
      <c r="AE153" s="8" t="s">
        <v>751</v>
      </c>
      <c r="AF153" s="8" t="s">
        <v>2024</v>
      </c>
      <c r="AG153" s="8" t="s">
        <v>2025</v>
      </c>
      <c r="AH153" s="8"/>
      <c r="AI153" s="8"/>
      <c r="AJ153" s="8" t="s">
        <v>2026</v>
      </c>
      <c r="AK153" s="8" t="s">
        <v>164</v>
      </c>
      <c r="AL153" s="8"/>
    </row>
    <row r="154" ht="15.75" customHeight="1">
      <c r="A154" s="7">
        <v>153.0</v>
      </c>
      <c r="B154" s="8" t="s">
        <v>2027</v>
      </c>
      <c r="C154" s="9" t="s">
        <v>2028</v>
      </c>
      <c r="D154" s="8" t="s">
        <v>137</v>
      </c>
      <c r="E154" s="8" t="s">
        <v>1685</v>
      </c>
      <c r="F154" s="10">
        <v>150.0</v>
      </c>
      <c r="G154" s="10">
        <f t="shared" si="1"/>
        <v>1800</v>
      </c>
      <c r="H154" s="8"/>
      <c r="I154" s="8" t="s">
        <v>2029</v>
      </c>
      <c r="J154" s="8" t="s">
        <v>164</v>
      </c>
      <c r="K154" s="8"/>
      <c r="L154" s="8"/>
      <c r="M154" s="8" t="s">
        <v>261</v>
      </c>
      <c r="N154" s="8" t="s">
        <v>170</v>
      </c>
      <c r="O154" s="8" t="s">
        <v>164</v>
      </c>
      <c r="P154" s="11"/>
      <c r="Q154" s="8"/>
      <c r="R154" s="8" t="s">
        <v>172</v>
      </c>
      <c r="S154" s="8" t="s">
        <v>586</v>
      </c>
      <c r="T154" s="8" t="s">
        <v>39</v>
      </c>
      <c r="U154" s="8" t="s">
        <v>586</v>
      </c>
      <c r="V154" s="8" t="s">
        <v>164</v>
      </c>
      <c r="W154" s="8"/>
      <c r="X154" s="8" t="s">
        <v>289</v>
      </c>
      <c r="Y154" s="8" t="s">
        <v>589</v>
      </c>
      <c r="Z154" s="8" t="s">
        <v>2030</v>
      </c>
      <c r="AA154" s="8" t="s">
        <v>141</v>
      </c>
      <c r="AB154" s="8"/>
      <c r="AC154" s="8" t="s">
        <v>2031</v>
      </c>
      <c r="AD154" s="8" t="s">
        <v>180</v>
      </c>
      <c r="AE154" s="8" t="s">
        <v>181</v>
      </c>
      <c r="AF154" s="8" t="s">
        <v>182</v>
      </c>
      <c r="AG154" s="8" t="s">
        <v>182</v>
      </c>
      <c r="AH154" s="8"/>
      <c r="AI154" s="8"/>
      <c r="AJ154" s="8" t="s">
        <v>2032</v>
      </c>
      <c r="AK154" s="8" t="s">
        <v>164</v>
      </c>
      <c r="AL154" s="8"/>
    </row>
    <row r="155" ht="15.75" customHeight="1">
      <c r="A155" s="7">
        <v>154.0</v>
      </c>
      <c r="B155" s="8" t="s">
        <v>2033</v>
      </c>
      <c r="C155" s="9" t="s">
        <v>2034</v>
      </c>
      <c r="D155" s="8" t="s">
        <v>137</v>
      </c>
      <c r="E155" s="8" t="s">
        <v>1685</v>
      </c>
      <c r="F155" s="10">
        <v>400.0</v>
      </c>
      <c r="G155" s="10">
        <f t="shared" si="1"/>
        <v>4800</v>
      </c>
      <c r="H155" s="8"/>
      <c r="I155" s="8" t="s">
        <v>2035</v>
      </c>
      <c r="J155" s="8" t="s">
        <v>164</v>
      </c>
      <c r="K155" s="8"/>
      <c r="L155" s="8"/>
      <c r="M155" s="8" t="s">
        <v>261</v>
      </c>
      <c r="N155" s="8" t="s">
        <v>170</v>
      </c>
      <c r="O155" s="8" t="s">
        <v>164</v>
      </c>
      <c r="P155" s="11"/>
      <c r="Q155" s="8"/>
      <c r="R155" s="8" t="s">
        <v>172</v>
      </c>
      <c r="S155" s="8" t="s">
        <v>586</v>
      </c>
      <c r="T155" s="8" t="s">
        <v>39</v>
      </c>
      <c r="U155" s="8" t="s">
        <v>586</v>
      </c>
      <c r="V155" s="8" t="s">
        <v>164</v>
      </c>
      <c r="W155" s="8"/>
      <c r="X155" s="8" t="s">
        <v>289</v>
      </c>
      <c r="Y155" s="8" t="s">
        <v>589</v>
      </c>
      <c r="Z155" s="8" t="s">
        <v>2036</v>
      </c>
      <c r="AA155" s="8" t="s">
        <v>141</v>
      </c>
      <c r="AB155" s="8"/>
      <c r="AC155" s="8" t="s">
        <v>2037</v>
      </c>
      <c r="AD155" s="8" t="s">
        <v>180</v>
      </c>
      <c r="AE155" s="8" t="s">
        <v>181</v>
      </c>
      <c r="AF155" s="8" t="s">
        <v>182</v>
      </c>
      <c r="AG155" s="8" t="s">
        <v>182</v>
      </c>
      <c r="AH155" s="8"/>
      <c r="AI155" s="8"/>
      <c r="AJ155" s="8" t="s">
        <v>2038</v>
      </c>
      <c r="AK155" s="8" t="s">
        <v>164</v>
      </c>
      <c r="AL155" s="8"/>
    </row>
    <row r="156" ht="15.75" customHeight="1">
      <c r="A156" s="7">
        <v>155.0</v>
      </c>
      <c r="B156" s="8" t="s">
        <v>2039</v>
      </c>
      <c r="C156" s="9" t="s">
        <v>2040</v>
      </c>
      <c r="D156" s="8" t="s">
        <v>137</v>
      </c>
      <c r="E156" s="8" t="s">
        <v>1685</v>
      </c>
      <c r="F156" s="10">
        <v>300.0</v>
      </c>
      <c r="G156" s="10">
        <f t="shared" si="1"/>
        <v>3600</v>
      </c>
      <c r="H156" s="8"/>
      <c r="I156" s="8" t="s">
        <v>521</v>
      </c>
      <c r="J156" s="8" t="s">
        <v>164</v>
      </c>
      <c r="K156" s="8"/>
      <c r="L156" s="8"/>
      <c r="M156" s="8" t="s">
        <v>261</v>
      </c>
      <c r="N156" s="8" t="s">
        <v>170</v>
      </c>
      <c r="O156" s="8" t="s">
        <v>164</v>
      </c>
      <c r="P156" s="11"/>
      <c r="Q156" s="8"/>
      <c r="R156" s="8" t="s">
        <v>172</v>
      </c>
      <c r="S156" s="8" t="s">
        <v>474</v>
      </c>
      <c r="T156" s="8" t="s">
        <v>477</v>
      </c>
      <c r="U156" s="8" t="s">
        <v>474</v>
      </c>
      <c r="V156" s="8" t="s">
        <v>164</v>
      </c>
      <c r="W156" s="8"/>
      <c r="X156" s="8" t="s">
        <v>289</v>
      </c>
      <c r="Y156" s="8" t="s">
        <v>589</v>
      </c>
      <c r="Z156" s="8" t="s">
        <v>2041</v>
      </c>
      <c r="AA156" s="8" t="s">
        <v>141</v>
      </c>
      <c r="AB156" s="8"/>
      <c r="AC156" s="8" t="s">
        <v>1160</v>
      </c>
      <c r="AD156" s="8" t="s">
        <v>750</v>
      </c>
      <c r="AE156" s="8" t="s">
        <v>751</v>
      </c>
      <c r="AF156" s="8" t="s">
        <v>1300</v>
      </c>
      <c r="AG156" s="8" t="s">
        <v>2042</v>
      </c>
      <c r="AH156" s="8"/>
      <c r="AI156" s="8"/>
      <c r="AJ156" s="8" t="s">
        <v>2043</v>
      </c>
      <c r="AK156" s="8" t="s">
        <v>164</v>
      </c>
      <c r="AL156" s="8"/>
    </row>
    <row r="157" ht="15.75" customHeight="1">
      <c r="A157" s="7">
        <v>156.0</v>
      </c>
      <c r="B157" s="8" t="s">
        <v>2044</v>
      </c>
      <c r="C157" s="9" t="s">
        <v>2045</v>
      </c>
      <c r="D157" s="8" t="s">
        <v>137</v>
      </c>
      <c r="E157" s="8" t="s">
        <v>1685</v>
      </c>
      <c r="F157" s="10">
        <v>200.0</v>
      </c>
      <c r="G157" s="10">
        <f t="shared" si="1"/>
        <v>2400</v>
      </c>
      <c r="H157" s="8"/>
      <c r="I157" s="8" t="s">
        <v>2046</v>
      </c>
      <c r="J157" s="8" t="s">
        <v>164</v>
      </c>
      <c r="K157" s="8"/>
      <c r="L157" s="8"/>
      <c r="M157" s="8" t="s">
        <v>261</v>
      </c>
      <c r="N157" s="8" t="s">
        <v>170</v>
      </c>
      <c r="O157" s="8" t="s">
        <v>164</v>
      </c>
      <c r="P157" s="11"/>
      <c r="Q157" s="8"/>
      <c r="R157" s="8" t="s">
        <v>172</v>
      </c>
      <c r="S157" s="8" t="s">
        <v>586</v>
      </c>
      <c r="T157" s="8" t="s">
        <v>39</v>
      </c>
      <c r="U157" s="8" t="s">
        <v>586</v>
      </c>
      <c r="V157" s="8" t="s">
        <v>164</v>
      </c>
      <c r="W157" s="8"/>
      <c r="X157" s="8" t="s">
        <v>289</v>
      </c>
      <c r="Y157" s="8" t="s">
        <v>154</v>
      </c>
      <c r="Z157" s="8" t="s">
        <v>2047</v>
      </c>
      <c r="AA157" s="8" t="s">
        <v>141</v>
      </c>
      <c r="AB157" s="8"/>
      <c r="AC157" s="8" t="s">
        <v>2031</v>
      </c>
      <c r="AD157" s="8" t="s">
        <v>180</v>
      </c>
      <c r="AE157" s="8" t="s">
        <v>181</v>
      </c>
      <c r="AF157" s="8" t="s">
        <v>182</v>
      </c>
      <c r="AG157" s="8" t="s">
        <v>2031</v>
      </c>
      <c r="AH157" s="8"/>
      <c r="AI157" s="8"/>
      <c r="AJ157" s="8" t="s">
        <v>2048</v>
      </c>
      <c r="AK157" s="8" t="s">
        <v>164</v>
      </c>
      <c r="AL157" s="8"/>
    </row>
    <row r="158" ht="15.75" customHeight="1">
      <c r="A158" s="7">
        <v>157.0</v>
      </c>
      <c r="B158" s="8" t="s">
        <v>2049</v>
      </c>
      <c r="C158" s="9" t="s">
        <v>2050</v>
      </c>
      <c r="D158" s="8" t="s">
        <v>137</v>
      </c>
      <c r="E158" s="8" t="s">
        <v>1685</v>
      </c>
      <c r="F158" s="10">
        <v>60.0</v>
      </c>
      <c r="G158" s="10">
        <f t="shared" si="1"/>
        <v>720</v>
      </c>
      <c r="H158" s="8"/>
      <c r="I158" s="8" t="s">
        <v>521</v>
      </c>
      <c r="J158" s="8" t="s">
        <v>141</v>
      </c>
      <c r="K158" s="8" t="s">
        <v>2051</v>
      </c>
      <c r="L158" s="8"/>
      <c r="M158" s="8" t="s">
        <v>261</v>
      </c>
      <c r="N158" s="8" t="s">
        <v>262</v>
      </c>
      <c r="O158" s="8" t="s">
        <v>164</v>
      </c>
      <c r="P158" s="11"/>
      <c r="Q158" s="8"/>
      <c r="R158" s="8" t="s">
        <v>172</v>
      </c>
      <c r="S158" s="8" t="s">
        <v>474</v>
      </c>
      <c r="T158" s="8" t="s">
        <v>477</v>
      </c>
      <c r="U158" s="8" t="s">
        <v>474</v>
      </c>
      <c r="V158" s="8" t="s">
        <v>393</v>
      </c>
      <c r="W158" s="8"/>
      <c r="X158" s="8" t="s">
        <v>289</v>
      </c>
      <c r="Y158" s="8" t="s">
        <v>589</v>
      </c>
      <c r="Z158" s="8" t="s">
        <v>2052</v>
      </c>
      <c r="AA158" s="8" t="s">
        <v>141</v>
      </c>
      <c r="AB158" s="8"/>
      <c r="AC158" s="8" t="s">
        <v>2053</v>
      </c>
      <c r="AD158" s="8" t="s">
        <v>750</v>
      </c>
      <c r="AE158" s="8" t="s">
        <v>751</v>
      </c>
      <c r="AF158" s="8" t="s">
        <v>2054</v>
      </c>
      <c r="AG158" s="8" t="s">
        <v>2055</v>
      </c>
      <c r="AH158" s="8" t="s">
        <v>1432</v>
      </c>
      <c r="AI158" s="8"/>
      <c r="AJ158" s="8" t="s">
        <v>2056</v>
      </c>
      <c r="AK158" s="8" t="s">
        <v>164</v>
      </c>
      <c r="AL158" s="8"/>
    </row>
    <row r="159" ht="15.75" customHeight="1">
      <c r="A159" s="7">
        <v>158.0</v>
      </c>
      <c r="B159" s="8" t="s">
        <v>2057</v>
      </c>
      <c r="C159" s="9" t="s">
        <v>2058</v>
      </c>
      <c r="D159" s="8" t="s">
        <v>137</v>
      </c>
      <c r="E159" s="8" t="s">
        <v>1685</v>
      </c>
      <c r="F159" s="10">
        <v>150.0</v>
      </c>
      <c r="G159" s="10">
        <f t="shared" si="1"/>
        <v>1800</v>
      </c>
      <c r="H159" s="8"/>
      <c r="I159" s="8" t="s">
        <v>2059</v>
      </c>
      <c r="J159" s="8" t="s">
        <v>221</v>
      </c>
      <c r="K159" s="8" t="s">
        <v>259</v>
      </c>
      <c r="L159" s="8"/>
      <c r="M159" s="8" t="s">
        <v>144</v>
      </c>
      <c r="N159" s="8" t="s">
        <v>145</v>
      </c>
      <c r="O159" s="8" t="s">
        <v>141</v>
      </c>
      <c r="P159" s="11">
        <v>0.4</v>
      </c>
      <c r="Q159" s="8" t="s">
        <v>2060</v>
      </c>
      <c r="R159" s="8" t="s">
        <v>172</v>
      </c>
      <c r="S159" s="8" t="s">
        <v>474</v>
      </c>
      <c r="T159" s="8" t="s">
        <v>477</v>
      </c>
      <c r="U159" s="8" t="s">
        <v>474</v>
      </c>
      <c r="V159" s="8" t="s">
        <v>151</v>
      </c>
      <c r="W159" s="8"/>
      <c r="X159" s="8" t="s">
        <v>289</v>
      </c>
      <c r="Y159" s="8" t="s">
        <v>154</v>
      </c>
      <c r="Z159" s="8" t="s">
        <v>2061</v>
      </c>
      <c r="AA159" s="8" t="s">
        <v>141</v>
      </c>
      <c r="AB159" s="8"/>
      <c r="AC159" s="8" t="s">
        <v>2062</v>
      </c>
      <c r="AD159" s="8" t="s">
        <v>750</v>
      </c>
      <c r="AE159" s="8" t="s">
        <v>751</v>
      </c>
      <c r="AF159" s="8" t="s">
        <v>1300</v>
      </c>
      <c r="AG159" s="8" t="s">
        <v>2063</v>
      </c>
      <c r="AH159" s="8" t="s">
        <v>1432</v>
      </c>
      <c r="AI159" s="8"/>
      <c r="AJ159" s="8" t="s">
        <v>2064</v>
      </c>
      <c r="AK159" s="8" t="s">
        <v>164</v>
      </c>
      <c r="AL159" s="8"/>
    </row>
    <row r="160" ht="15.75" customHeight="1">
      <c r="A160" s="7">
        <v>159.0</v>
      </c>
      <c r="B160" s="8" t="s">
        <v>2065</v>
      </c>
      <c r="C160" s="9" t="s">
        <v>621</v>
      </c>
      <c r="D160" s="8" t="s">
        <v>137</v>
      </c>
      <c r="E160" s="8" t="s">
        <v>1685</v>
      </c>
      <c r="F160" s="10">
        <v>100.0</v>
      </c>
      <c r="G160" s="10">
        <f t="shared" si="1"/>
        <v>1200</v>
      </c>
      <c r="H160" s="8"/>
      <c r="I160" s="8" t="s">
        <v>2066</v>
      </c>
      <c r="J160" s="8" t="s">
        <v>221</v>
      </c>
      <c r="K160" s="8" t="s">
        <v>509</v>
      </c>
      <c r="L160" s="8"/>
      <c r="M160" s="8" t="s">
        <v>144</v>
      </c>
      <c r="N160" s="8" t="s">
        <v>145</v>
      </c>
      <c r="O160" s="8" t="s">
        <v>141</v>
      </c>
      <c r="P160" s="11">
        <v>0.4</v>
      </c>
      <c r="Q160" s="8" t="s">
        <v>622</v>
      </c>
      <c r="R160" s="8" t="s">
        <v>147</v>
      </c>
      <c r="S160" s="8" t="s">
        <v>148</v>
      </c>
      <c r="T160" s="8" t="s">
        <v>149</v>
      </c>
      <c r="U160" s="8" t="s">
        <v>150</v>
      </c>
      <c r="V160" s="8" t="s">
        <v>151</v>
      </c>
      <c r="W160" s="8" t="s">
        <v>152</v>
      </c>
      <c r="X160" s="8" t="s">
        <v>289</v>
      </c>
      <c r="Y160" s="8" t="s">
        <v>193</v>
      </c>
      <c r="Z160" s="8" t="s">
        <v>2067</v>
      </c>
      <c r="AA160" s="8" t="s">
        <v>141</v>
      </c>
      <c r="AB160" s="8"/>
      <c r="AC160" s="8" t="s">
        <v>2068</v>
      </c>
      <c r="AD160" s="8" t="s">
        <v>750</v>
      </c>
      <c r="AE160" s="8" t="s">
        <v>751</v>
      </c>
      <c r="AF160" s="8" t="s">
        <v>1300</v>
      </c>
      <c r="AG160" s="8" t="s">
        <v>2069</v>
      </c>
      <c r="AH160" s="8"/>
      <c r="AI160" s="8"/>
      <c r="AJ160" s="8" t="s">
        <v>2070</v>
      </c>
      <c r="AK160" s="8" t="s">
        <v>164</v>
      </c>
      <c r="AL160" s="8"/>
    </row>
    <row r="161" ht="15.75" customHeight="1">
      <c r="A161" s="7">
        <v>160.0</v>
      </c>
      <c r="B161" s="8" t="s">
        <v>2071</v>
      </c>
      <c r="C161" s="9" t="s">
        <v>2072</v>
      </c>
      <c r="D161" s="8" t="s">
        <v>137</v>
      </c>
      <c r="E161" s="8" t="s">
        <v>1685</v>
      </c>
      <c r="F161" s="10">
        <v>300.0</v>
      </c>
      <c r="G161" s="10">
        <f t="shared" si="1"/>
        <v>3600</v>
      </c>
      <c r="H161" s="8"/>
      <c r="I161" s="8" t="s">
        <v>2073</v>
      </c>
      <c r="J161" s="8" t="s">
        <v>164</v>
      </c>
      <c r="K161" s="8"/>
      <c r="L161" s="8"/>
      <c r="M161" s="8" t="s">
        <v>261</v>
      </c>
      <c r="N161" s="8" t="s">
        <v>170</v>
      </c>
      <c r="O161" s="8" t="s">
        <v>164</v>
      </c>
      <c r="P161" s="11"/>
      <c r="Q161" s="8"/>
      <c r="R161" s="8" t="s">
        <v>172</v>
      </c>
      <c r="S161" s="8" t="s">
        <v>173</v>
      </c>
      <c r="T161" s="8" t="s">
        <v>174</v>
      </c>
      <c r="U161" s="8" t="s">
        <v>173</v>
      </c>
      <c r="V161" s="8" t="s">
        <v>164</v>
      </c>
      <c r="W161" s="8"/>
      <c r="X161" s="8" t="s">
        <v>289</v>
      </c>
      <c r="Y161" s="8" t="s">
        <v>249</v>
      </c>
      <c r="Z161" s="8" t="s">
        <v>2074</v>
      </c>
      <c r="AA161" s="8" t="s">
        <v>195</v>
      </c>
      <c r="AB161" s="8" t="s">
        <v>518</v>
      </c>
      <c r="AC161" s="8" t="s">
        <v>2075</v>
      </c>
      <c r="AD161" s="8" t="s">
        <v>180</v>
      </c>
      <c r="AE161" s="8" t="s">
        <v>181</v>
      </c>
      <c r="AF161" s="8" t="s">
        <v>182</v>
      </c>
      <c r="AG161" s="8" t="s">
        <v>182</v>
      </c>
      <c r="AH161" s="8"/>
      <c r="AI161" s="8"/>
      <c r="AJ161" s="8" t="s">
        <v>2076</v>
      </c>
      <c r="AK161" s="8" t="s">
        <v>141</v>
      </c>
      <c r="AL161" s="8" t="s">
        <v>2077</v>
      </c>
    </row>
    <row r="162" ht="15.75" customHeight="1">
      <c r="A162" s="7">
        <v>161.0</v>
      </c>
      <c r="B162" s="8" t="s">
        <v>2078</v>
      </c>
      <c r="C162" s="9" t="s">
        <v>2079</v>
      </c>
      <c r="D162" s="8" t="s">
        <v>137</v>
      </c>
      <c r="E162" s="8" t="s">
        <v>1685</v>
      </c>
      <c r="F162" s="10">
        <v>120.0</v>
      </c>
      <c r="G162" s="10">
        <f t="shared" si="1"/>
        <v>1440</v>
      </c>
      <c r="H162" s="8"/>
      <c r="I162" s="8" t="s">
        <v>1267</v>
      </c>
      <c r="J162" s="8" t="s">
        <v>164</v>
      </c>
      <c r="K162" s="8"/>
      <c r="L162" s="8"/>
      <c r="M162" s="8" t="s">
        <v>144</v>
      </c>
      <c r="N162" s="8" t="s">
        <v>170</v>
      </c>
      <c r="O162" s="8" t="s">
        <v>164</v>
      </c>
      <c r="P162" s="11"/>
      <c r="Q162" s="8"/>
      <c r="R162" s="8" t="s">
        <v>172</v>
      </c>
      <c r="S162" s="8" t="s">
        <v>173</v>
      </c>
      <c r="T162" s="8" t="s">
        <v>174</v>
      </c>
      <c r="U162" s="8" t="s">
        <v>173</v>
      </c>
      <c r="V162" s="8" t="s">
        <v>164</v>
      </c>
      <c r="W162" s="8"/>
      <c r="X162" s="8" t="s">
        <v>289</v>
      </c>
      <c r="Y162" s="8" t="s">
        <v>176</v>
      </c>
      <c r="Z162" s="8" t="s">
        <v>2080</v>
      </c>
      <c r="AA162" s="8" t="s">
        <v>164</v>
      </c>
      <c r="AB162" s="8" t="s">
        <v>178</v>
      </c>
      <c r="AC162" s="8" t="s">
        <v>2081</v>
      </c>
      <c r="AD162" s="8" t="s">
        <v>180</v>
      </c>
      <c r="AE162" s="8" t="s">
        <v>181</v>
      </c>
      <c r="AF162" s="8" t="s">
        <v>182</v>
      </c>
      <c r="AG162" s="8" t="s">
        <v>182</v>
      </c>
      <c r="AH162" s="8"/>
      <c r="AI162" s="8"/>
      <c r="AJ162" s="8" t="s">
        <v>2082</v>
      </c>
      <c r="AK162" s="8" t="s">
        <v>141</v>
      </c>
      <c r="AL162" s="8" t="s">
        <v>2083</v>
      </c>
    </row>
    <row r="163" ht="15.75" customHeight="1">
      <c r="A163" s="7">
        <v>162.0</v>
      </c>
      <c r="B163" s="8" t="s">
        <v>2084</v>
      </c>
      <c r="C163" s="9" t="s">
        <v>2085</v>
      </c>
      <c r="D163" s="8" t="s">
        <v>137</v>
      </c>
      <c r="E163" s="8" t="s">
        <v>1685</v>
      </c>
      <c r="F163" s="10">
        <v>100.0</v>
      </c>
      <c r="G163" s="10">
        <f t="shared" si="1"/>
        <v>1200</v>
      </c>
      <c r="H163" s="8"/>
      <c r="I163" s="8" t="s">
        <v>2086</v>
      </c>
      <c r="J163" s="8" t="s">
        <v>164</v>
      </c>
      <c r="K163" s="8"/>
      <c r="L163" s="8"/>
      <c r="M163" s="8" t="s">
        <v>144</v>
      </c>
      <c r="N163" s="8" t="s">
        <v>170</v>
      </c>
      <c r="O163" s="8" t="s">
        <v>164</v>
      </c>
      <c r="P163" s="11"/>
      <c r="Q163" s="8"/>
      <c r="R163" s="8" t="s">
        <v>172</v>
      </c>
      <c r="S163" s="8" t="s">
        <v>173</v>
      </c>
      <c r="T163" s="8" t="s">
        <v>174</v>
      </c>
      <c r="U163" s="8" t="s">
        <v>173</v>
      </c>
      <c r="V163" s="8" t="s">
        <v>164</v>
      </c>
      <c r="W163" s="8"/>
      <c r="X163" s="8" t="s">
        <v>289</v>
      </c>
      <c r="Y163" s="8" t="s">
        <v>176</v>
      </c>
      <c r="Z163" s="8" t="s">
        <v>2087</v>
      </c>
      <c r="AA163" s="8" t="s">
        <v>164</v>
      </c>
      <c r="AB163" s="8" t="s">
        <v>178</v>
      </c>
      <c r="AC163" s="8" t="s">
        <v>1219</v>
      </c>
      <c r="AD163" s="8" t="s">
        <v>180</v>
      </c>
      <c r="AE163" s="8" t="s">
        <v>181</v>
      </c>
      <c r="AF163" s="8" t="s">
        <v>182</v>
      </c>
      <c r="AG163" s="8" t="s">
        <v>182</v>
      </c>
      <c r="AH163" s="8"/>
      <c r="AI163" s="8" t="s">
        <v>2088</v>
      </c>
      <c r="AJ163" s="8" t="s">
        <v>2089</v>
      </c>
      <c r="AK163" s="8" t="s">
        <v>141</v>
      </c>
      <c r="AL163" s="8" t="s">
        <v>2090</v>
      </c>
    </row>
    <row r="164" ht="15.75" customHeight="1">
      <c r="A164" s="7">
        <v>163.0</v>
      </c>
      <c r="B164" s="8" t="s">
        <v>2091</v>
      </c>
      <c r="C164" s="9" t="s">
        <v>2092</v>
      </c>
      <c r="D164" s="8" t="s">
        <v>137</v>
      </c>
      <c r="E164" s="8" t="s">
        <v>1685</v>
      </c>
      <c r="F164" s="10">
        <v>20.0</v>
      </c>
      <c r="G164" s="10">
        <f t="shared" si="1"/>
        <v>240</v>
      </c>
      <c r="H164" s="8" t="s">
        <v>2093</v>
      </c>
      <c r="I164" s="8" t="s">
        <v>2094</v>
      </c>
      <c r="J164" s="8" t="s">
        <v>164</v>
      </c>
      <c r="K164" s="8"/>
      <c r="L164" s="8"/>
      <c r="M164" s="8" t="s">
        <v>261</v>
      </c>
      <c r="N164" s="8" t="s">
        <v>170</v>
      </c>
      <c r="O164" s="8" t="s">
        <v>164</v>
      </c>
      <c r="P164" s="11"/>
      <c r="Q164" s="8"/>
      <c r="R164" s="8" t="s">
        <v>172</v>
      </c>
      <c r="S164" s="8" t="s">
        <v>173</v>
      </c>
      <c r="T164" s="8" t="s">
        <v>174</v>
      </c>
      <c r="U164" s="8" t="s">
        <v>173</v>
      </c>
      <c r="V164" s="8" t="s">
        <v>164</v>
      </c>
      <c r="W164" s="8"/>
      <c r="X164" s="8" t="s">
        <v>289</v>
      </c>
      <c r="Y164" s="8" t="s">
        <v>176</v>
      </c>
      <c r="Z164" s="8" t="s">
        <v>2095</v>
      </c>
      <c r="AA164" s="8" t="s">
        <v>195</v>
      </c>
      <c r="AB164" s="8" t="s">
        <v>518</v>
      </c>
      <c r="AC164" s="8" t="s">
        <v>2096</v>
      </c>
      <c r="AD164" s="8" t="s">
        <v>180</v>
      </c>
      <c r="AE164" s="8" t="s">
        <v>181</v>
      </c>
      <c r="AF164" s="8" t="s">
        <v>182</v>
      </c>
      <c r="AG164" s="8" t="s">
        <v>182</v>
      </c>
      <c r="AH164" s="8"/>
      <c r="AI164" s="8"/>
      <c r="AJ164" s="8" t="s">
        <v>2097</v>
      </c>
      <c r="AK164" s="8" t="s">
        <v>141</v>
      </c>
      <c r="AL164" s="8" t="s">
        <v>2098</v>
      </c>
    </row>
    <row r="165" ht="15.75" customHeight="1">
      <c r="A165" s="7">
        <v>164.0</v>
      </c>
      <c r="B165" s="8" t="s">
        <v>2099</v>
      </c>
      <c r="C165" s="9" t="s">
        <v>2100</v>
      </c>
      <c r="D165" s="8" t="s">
        <v>137</v>
      </c>
      <c r="E165" s="8" t="s">
        <v>1685</v>
      </c>
      <c r="F165" s="10">
        <v>40.0</v>
      </c>
      <c r="G165" s="10">
        <f t="shared" si="1"/>
        <v>480</v>
      </c>
      <c r="H165" s="8"/>
      <c r="I165" s="8" t="s">
        <v>2101</v>
      </c>
      <c r="J165" s="8" t="s">
        <v>164</v>
      </c>
      <c r="K165" s="8"/>
      <c r="L165" s="8"/>
      <c r="M165" s="8" t="s">
        <v>261</v>
      </c>
      <c r="N165" s="8" t="s">
        <v>170</v>
      </c>
      <c r="O165" s="8" t="s">
        <v>164</v>
      </c>
      <c r="P165" s="11"/>
      <c r="Q165" s="8"/>
      <c r="R165" s="8" t="s">
        <v>172</v>
      </c>
      <c r="S165" s="8" t="s">
        <v>474</v>
      </c>
      <c r="T165" s="8" t="s">
        <v>477</v>
      </c>
      <c r="U165" s="8" t="s">
        <v>474</v>
      </c>
      <c r="V165" s="8" t="s">
        <v>164</v>
      </c>
      <c r="W165" s="8"/>
      <c r="X165" s="8" t="s">
        <v>289</v>
      </c>
      <c r="Y165" s="8" t="s">
        <v>193</v>
      </c>
      <c r="Z165" s="8" t="s">
        <v>2102</v>
      </c>
      <c r="AA165" s="8" t="s">
        <v>141</v>
      </c>
      <c r="AB165" s="8"/>
      <c r="AC165" s="8" t="s">
        <v>2103</v>
      </c>
      <c r="AD165" s="8" t="s">
        <v>252</v>
      </c>
      <c r="AE165" s="8" t="s">
        <v>181</v>
      </c>
      <c r="AF165" s="8" t="s">
        <v>253</v>
      </c>
      <c r="AG165" s="8" t="s">
        <v>2104</v>
      </c>
      <c r="AH165" s="8" t="s">
        <v>1475</v>
      </c>
      <c r="AI165" s="8"/>
      <c r="AJ165" s="8" t="s">
        <v>2105</v>
      </c>
      <c r="AK165" s="8" t="s">
        <v>164</v>
      </c>
      <c r="AL165" s="8"/>
    </row>
    <row r="166" ht="15.75" customHeight="1">
      <c r="A166" s="7">
        <v>165.0</v>
      </c>
      <c r="B166" s="8" t="s">
        <v>2106</v>
      </c>
      <c r="C166" s="9" t="s">
        <v>2107</v>
      </c>
      <c r="D166" s="8" t="s">
        <v>137</v>
      </c>
      <c r="E166" s="8" t="s">
        <v>1685</v>
      </c>
      <c r="F166" s="10">
        <v>300.0</v>
      </c>
      <c r="G166" s="10">
        <f t="shared" si="1"/>
        <v>3600</v>
      </c>
      <c r="H166" s="8"/>
      <c r="I166" s="8" t="s">
        <v>2108</v>
      </c>
      <c r="J166" s="8" t="s">
        <v>164</v>
      </c>
      <c r="K166" s="8"/>
      <c r="L166" s="8"/>
      <c r="M166" s="8" t="s">
        <v>261</v>
      </c>
      <c r="N166" s="8" t="s">
        <v>170</v>
      </c>
      <c r="O166" s="8" t="s">
        <v>164</v>
      </c>
      <c r="P166" s="11"/>
      <c r="Q166" s="8"/>
      <c r="R166" s="8" t="s">
        <v>172</v>
      </c>
      <c r="S166" s="8" t="s">
        <v>586</v>
      </c>
      <c r="T166" s="8" t="s">
        <v>39</v>
      </c>
      <c r="U166" s="8" t="s">
        <v>586</v>
      </c>
      <c r="V166" s="8" t="s">
        <v>164</v>
      </c>
      <c r="W166" s="8"/>
      <c r="X166" s="8" t="s">
        <v>289</v>
      </c>
      <c r="Y166" s="8" t="s">
        <v>154</v>
      </c>
      <c r="Z166" s="8" t="s">
        <v>2109</v>
      </c>
      <c r="AA166" s="8" t="s">
        <v>141</v>
      </c>
      <c r="AB166" s="8"/>
      <c r="AC166" s="8" t="s">
        <v>2110</v>
      </c>
      <c r="AD166" s="8" t="s">
        <v>180</v>
      </c>
      <c r="AE166" s="8" t="s">
        <v>181</v>
      </c>
      <c r="AF166" s="8" t="s">
        <v>182</v>
      </c>
      <c r="AG166" s="8" t="s">
        <v>182</v>
      </c>
      <c r="AH166" s="8"/>
      <c r="AI166" s="8"/>
      <c r="AJ166" s="8" t="s">
        <v>2111</v>
      </c>
      <c r="AK166" s="8" t="s">
        <v>164</v>
      </c>
      <c r="AL166" s="8"/>
    </row>
    <row r="167" ht="15.75" customHeight="1">
      <c r="A167" s="7">
        <v>166.0</v>
      </c>
      <c r="B167" s="8" t="s">
        <v>2112</v>
      </c>
      <c r="C167" s="9" t="s">
        <v>2113</v>
      </c>
      <c r="D167" s="8" t="s">
        <v>137</v>
      </c>
      <c r="E167" s="8" t="s">
        <v>1685</v>
      </c>
      <c r="F167" s="10">
        <v>200.0</v>
      </c>
      <c r="G167" s="10">
        <f t="shared" si="1"/>
        <v>2400</v>
      </c>
      <c r="H167" s="8"/>
      <c r="I167" s="8" t="s">
        <v>246</v>
      </c>
      <c r="J167" s="8" t="s">
        <v>141</v>
      </c>
      <c r="K167" s="8" t="s">
        <v>2114</v>
      </c>
      <c r="L167" s="8"/>
      <c r="M167" s="8" t="s">
        <v>261</v>
      </c>
      <c r="N167" s="8" t="s">
        <v>170</v>
      </c>
      <c r="O167" s="8" t="s">
        <v>164</v>
      </c>
      <c r="P167" s="11"/>
      <c r="Q167" s="8"/>
      <c r="R167" s="8" t="s">
        <v>172</v>
      </c>
      <c r="S167" s="8" t="s">
        <v>586</v>
      </c>
      <c r="T167" s="8" t="s">
        <v>39</v>
      </c>
      <c r="U167" s="8" t="s">
        <v>586</v>
      </c>
      <c r="V167" s="8" t="s">
        <v>164</v>
      </c>
      <c r="W167" s="8"/>
      <c r="X167" s="8" t="s">
        <v>289</v>
      </c>
      <c r="Y167" s="8" t="s">
        <v>589</v>
      </c>
      <c r="Z167" s="8" t="s">
        <v>2115</v>
      </c>
      <c r="AA167" s="8" t="s">
        <v>141</v>
      </c>
      <c r="AB167" s="8"/>
      <c r="AC167" s="8" t="s">
        <v>2116</v>
      </c>
      <c r="AD167" s="8" t="s">
        <v>180</v>
      </c>
      <c r="AE167" s="8" t="s">
        <v>181</v>
      </c>
      <c r="AF167" s="8" t="s">
        <v>182</v>
      </c>
      <c r="AG167" s="8" t="s">
        <v>182</v>
      </c>
      <c r="AH167" s="8"/>
      <c r="AI167" s="8"/>
      <c r="AJ167" s="8" t="s">
        <v>2117</v>
      </c>
      <c r="AK167" s="8" t="s">
        <v>164</v>
      </c>
      <c r="AL167" s="8"/>
    </row>
    <row r="168" ht="15.75" customHeight="1">
      <c r="A168" s="7">
        <v>167.0</v>
      </c>
      <c r="B168" s="8" t="s">
        <v>2118</v>
      </c>
      <c r="C168" s="9" t="s">
        <v>2119</v>
      </c>
      <c r="D168" s="8" t="s">
        <v>137</v>
      </c>
      <c r="E168" s="8" t="s">
        <v>1685</v>
      </c>
      <c r="F168" s="10">
        <v>150.0</v>
      </c>
      <c r="G168" s="10">
        <f t="shared" si="1"/>
        <v>1800</v>
      </c>
      <c r="H168" s="8"/>
      <c r="I168" s="8" t="s">
        <v>2120</v>
      </c>
      <c r="J168" s="8" t="s">
        <v>164</v>
      </c>
      <c r="K168" s="8"/>
      <c r="L168" s="8"/>
      <c r="M168" s="8" t="s">
        <v>261</v>
      </c>
      <c r="N168" s="8" t="s">
        <v>170</v>
      </c>
      <c r="O168" s="8" t="s">
        <v>164</v>
      </c>
      <c r="P168" s="11"/>
      <c r="Q168" s="8"/>
      <c r="R168" s="8" t="s">
        <v>172</v>
      </c>
      <c r="S168" s="8" t="s">
        <v>474</v>
      </c>
      <c r="T168" s="8" t="s">
        <v>477</v>
      </c>
      <c r="U168" s="8" t="s">
        <v>474</v>
      </c>
      <c r="V168" s="8" t="s">
        <v>164</v>
      </c>
      <c r="W168" s="8"/>
      <c r="X168" s="8" t="s">
        <v>289</v>
      </c>
      <c r="Y168" s="8" t="s">
        <v>193</v>
      </c>
      <c r="Z168" s="8" t="s">
        <v>2121</v>
      </c>
      <c r="AA168" s="8" t="s">
        <v>141</v>
      </c>
      <c r="AB168" s="8"/>
      <c r="AC168" s="8" t="s">
        <v>2122</v>
      </c>
      <c r="AD168" s="8" t="s">
        <v>750</v>
      </c>
      <c r="AE168" s="8" t="s">
        <v>751</v>
      </c>
      <c r="AF168" s="8" t="s">
        <v>1300</v>
      </c>
      <c r="AG168" s="8" t="s">
        <v>2123</v>
      </c>
      <c r="AH168" s="8"/>
      <c r="AI168" s="8"/>
      <c r="AJ168" s="8" t="s">
        <v>2124</v>
      </c>
      <c r="AK168" s="8" t="s">
        <v>164</v>
      </c>
      <c r="AL168" s="8"/>
    </row>
    <row r="169" ht="15.75" customHeight="1">
      <c r="A169" s="7">
        <v>168.0</v>
      </c>
      <c r="B169" s="8" t="s">
        <v>2125</v>
      </c>
      <c r="C169" s="9" t="s">
        <v>2126</v>
      </c>
      <c r="D169" s="8" t="s">
        <v>137</v>
      </c>
      <c r="E169" s="8" t="s">
        <v>1685</v>
      </c>
      <c r="F169" s="10">
        <v>100.0</v>
      </c>
      <c r="G169" s="10">
        <f t="shared" si="1"/>
        <v>1200</v>
      </c>
      <c r="H169" s="8" t="s">
        <v>2127</v>
      </c>
      <c r="I169" s="8" t="s">
        <v>2128</v>
      </c>
      <c r="J169" s="8" t="s">
        <v>221</v>
      </c>
      <c r="K169" s="8" t="s">
        <v>2129</v>
      </c>
      <c r="L169" s="8"/>
      <c r="M169" s="8" t="s">
        <v>144</v>
      </c>
      <c r="N169" s="8" t="s">
        <v>170</v>
      </c>
      <c r="O169" s="8" t="s">
        <v>164</v>
      </c>
      <c r="P169" s="11"/>
      <c r="Q169" s="8"/>
      <c r="R169" s="8" t="s">
        <v>172</v>
      </c>
      <c r="S169" s="8" t="s">
        <v>474</v>
      </c>
      <c r="T169" s="8" t="s">
        <v>477</v>
      </c>
      <c r="U169" s="8" t="s">
        <v>474</v>
      </c>
      <c r="V169" s="8" t="s">
        <v>164</v>
      </c>
      <c r="W169" s="8"/>
      <c r="X169" s="8" t="s">
        <v>289</v>
      </c>
      <c r="Y169" s="8" t="s">
        <v>193</v>
      </c>
      <c r="Z169" s="8" t="s">
        <v>2130</v>
      </c>
      <c r="AA169" s="8" t="s">
        <v>141</v>
      </c>
      <c r="AB169" s="8"/>
      <c r="AC169" s="8" t="s">
        <v>1062</v>
      </c>
      <c r="AD169" s="8" t="s">
        <v>180</v>
      </c>
      <c r="AE169" s="8" t="s">
        <v>181</v>
      </c>
      <c r="AF169" s="8" t="s">
        <v>182</v>
      </c>
      <c r="AG169" s="8" t="s">
        <v>1062</v>
      </c>
      <c r="AH169" s="8"/>
      <c r="AI169" s="8"/>
      <c r="AJ169" s="8" t="s">
        <v>2131</v>
      </c>
      <c r="AK169" s="8" t="s">
        <v>164</v>
      </c>
      <c r="AL169" s="8"/>
    </row>
    <row r="170" ht="15.75" customHeight="1">
      <c r="A170" s="7">
        <v>169.0</v>
      </c>
      <c r="B170" s="8" t="s">
        <v>2132</v>
      </c>
      <c r="C170" s="9" t="s">
        <v>520</v>
      </c>
      <c r="D170" s="8" t="s">
        <v>1825</v>
      </c>
      <c r="E170" s="8" t="s">
        <v>1825</v>
      </c>
      <c r="F170" s="10">
        <v>0.0</v>
      </c>
      <c r="G170" s="10">
        <f t="shared" si="1"/>
        <v>0</v>
      </c>
      <c r="H170" s="8"/>
      <c r="I170" s="8" t="s">
        <v>246</v>
      </c>
      <c r="J170" s="8" t="s">
        <v>141</v>
      </c>
      <c r="K170" s="8" t="s">
        <v>2133</v>
      </c>
      <c r="L170" s="8"/>
      <c r="M170" s="8" t="s">
        <v>144</v>
      </c>
      <c r="N170" s="8" t="s">
        <v>145</v>
      </c>
      <c r="O170" s="8" t="s">
        <v>141</v>
      </c>
      <c r="P170" s="11">
        <v>0.7</v>
      </c>
      <c r="Q170" s="8" t="s">
        <v>522</v>
      </c>
      <c r="R170" s="8" t="s">
        <v>147</v>
      </c>
      <c r="S170" s="8" t="s">
        <v>148</v>
      </c>
      <c r="T170" s="8" t="s">
        <v>149</v>
      </c>
      <c r="U170" s="8" t="s">
        <v>150</v>
      </c>
      <c r="V170" s="8" t="s">
        <v>164</v>
      </c>
      <c r="W170" s="8" t="s">
        <v>152</v>
      </c>
      <c r="X170" s="8" t="s">
        <v>289</v>
      </c>
      <c r="Y170" s="8" t="s">
        <v>154</v>
      </c>
      <c r="Z170" s="8" t="s">
        <v>2134</v>
      </c>
      <c r="AA170" s="8" t="s">
        <v>141</v>
      </c>
      <c r="AB170" s="8"/>
      <c r="AC170" s="8" t="s">
        <v>2135</v>
      </c>
      <c r="AD170" s="8" t="s">
        <v>1302</v>
      </c>
      <c r="AE170" s="8" t="s">
        <v>1304</v>
      </c>
      <c r="AF170" s="8" t="s">
        <v>2136</v>
      </c>
      <c r="AG170" s="8" t="s">
        <v>2137</v>
      </c>
      <c r="AH170" s="8"/>
      <c r="AI170" s="8"/>
      <c r="AJ170" s="8" t="s">
        <v>2138</v>
      </c>
      <c r="AK170" s="8" t="s">
        <v>141</v>
      </c>
      <c r="AL170" s="8" t="s">
        <v>2139</v>
      </c>
    </row>
    <row r="171" ht="15.75" customHeight="1">
      <c r="A171" s="7">
        <v>170.0</v>
      </c>
      <c r="B171" s="8" t="s">
        <v>2140</v>
      </c>
      <c r="C171" s="9" t="s">
        <v>540</v>
      </c>
      <c r="D171" s="8" t="s">
        <v>1825</v>
      </c>
      <c r="E171" s="8" t="s">
        <v>1825</v>
      </c>
      <c r="F171" s="10">
        <v>0.0</v>
      </c>
      <c r="G171" s="10">
        <f t="shared" si="1"/>
        <v>0</v>
      </c>
      <c r="H171" s="8"/>
      <c r="I171" s="8" t="s">
        <v>246</v>
      </c>
      <c r="J171" s="8" t="s">
        <v>141</v>
      </c>
      <c r="K171" s="8" t="s">
        <v>1817</v>
      </c>
      <c r="L171" s="8" t="s">
        <v>1396</v>
      </c>
      <c r="M171" s="8" t="s">
        <v>144</v>
      </c>
      <c r="N171" s="8" t="s">
        <v>145</v>
      </c>
      <c r="O171" s="8" t="s">
        <v>141</v>
      </c>
      <c r="P171" s="11">
        <v>0.6</v>
      </c>
      <c r="Q171" s="8" t="s">
        <v>543</v>
      </c>
      <c r="R171" s="8" t="s">
        <v>147</v>
      </c>
      <c r="S171" s="8" t="s">
        <v>148</v>
      </c>
      <c r="T171" s="8" t="s">
        <v>149</v>
      </c>
      <c r="U171" s="8" t="s">
        <v>150</v>
      </c>
      <c r="V171" s="8" t="s">
        <v>164</v>
      </c>
      <c r="W171" s="8" t="s">
        <v>152</v>
      </c>
      <c r="X171" s="8" t="s">
        <v>289</v>
      </c>
      <c r="Y171" s="8" t="s">
        <v>154</v>
      </c>
      <c r="Z171" s="8" t="s">
        <v>2141</v>
      </c>
      <c r="AA171" s="8" t="s">
        <v>141</v>
      </c>
      <c r="AB171" s="8"/>
      <c r="AC171" s="8" t="s">
        <v>280</v>
      </c>
      <c r="AD171" s="8" t="s">
        <v>180</v>
      </c>
      <c r="AE171" s="8" t="s">
        <v>181</v>
      </c>
      <c r="AF171" s="8" t="s">
        <v>182</v>
      </c>
      <c r="AG171" s="8" t="s">
        <v>2142</v>
      </c>
      <c r="AH171" s="8"/>
      <c r="AI171" s="8"/>
      <c r="AJ171" s="8" t="s">
        <v>2143</v>
      </c>
      <c r="AK171" s="8" t="s">
        <v>141</v>
      </c>
      <c r="AL171" s="8" t="s">
        <v>2144</v>
      </c>
    </row>
    <row r="172" ht="15.75" customHeight="1">
      <c r="A172" s="7">
        <v>171.0</v>
      </c>
      <c r="B172" s="8" t="s">
        <v>2145</v>
      </c>
      <c r="C172" s="9" t="s">
        <v>430</v>
      </c>
      <c r="D172" s="8" t="s">
        <v>1825</v>
      </c>
      <c r="E172" s="8" t="s">
        <v>1825</v>
      </c>
      <c r="F172" s="10">
        <v>0.0</v>
      </c>
      <c r="G172" s="10">
        <f t="shared" si="1"/>
        <v>0</v>
      </c>
      <c r="H172" s="8"/>
      <c r="I172" s="8"/>
      <c r="J172" s="8" t="s">
        <v>141</v>
      </c>
      <c r="K172" s="8" t="s">
        <v>316</v>
      </c>
      <c r="L172" s="8" t="s">
        <v>1225</v>
      </c>
      <c r="M172" s="8" t="s">
        <v>144</v>
      </c>
      <c r="N172" s="8" t="s">
        <v>145</v>
      </c>
      <c r="O172" s="8" t="s">
        <v>141</v>
      </c>
      <c r="P172" s="11">
        <v>0.9</v>
      </c>
      <c r="Q172" s="8" t="s">
        <v>432</v>
      </c>
      <c r="R172" s="8" t="s">
        <v>207</v>
      </c>
      <c r="S172" s="8" t="s">
        <v>148</v>
      </c>
      <c r="T172" s="8" t="s">
        <v>149</v>
      </c>
      <c r="U172" s="8" t="s">
        <v>148</v>
      </c>
      <c r="V172" s="8" t="s">
        <v>164</v>
      </c>
      <c r="W172" s="8" t="s">
        <v>152</v>
      </c>
      <c r="X172" s="8" t="s">
        <v>289</v>
      </c>
      <c r="Y172" s="8" t="s">
        <v>154</v>
      </c>
      <c r="Z172" s="8" t="s">
        <v>2146</v>
      </c>
      <c r="AA172" s="8" t="s">
        <v>141</v>
      </c>
      <c r="AB172" s="8"/>
      <c r="AC172" s="8" t="s">
        <v>2147</v>
      </c>
      <c r="AD172" s="8" t="s">
        <v>180</v>
      </c>
      <c r="AE172" s="8" t="s">
        <v>181</v>
      </c>
      <c r="AF172" s="8" t="s">
        <v>182</v>
      </c>
      <c r="AG172" s="8" t="s">
        <v>2148</v>
      </c>
      <c r="AH172" s="8"/>
      <c r="AI172" s="8"/>
      <c r="AJ172" s="8" t="s">
        <v>2149</v>
      </c>
      <c r="AK172" s="8" t="s">
        <v>164</v>
      </c>
      <c r="AL172" s="8"/>
    </row>
    <row r="173" ht="15.75" customHeight="1">
      <c r="A173" s="7">
        <v>172.0</v>
      </c>
      <c r="B173" s="8" t="s">
        <v>2150</v>
      </c>
      <c r="C173" s="9" t="s">
        <v>625</v>
      </c>
      <c r="D173" s="8" t="s">
        <v>1825</v>
      </c>
      <c r="E173" s="8" t="s">
        <v>1825</v>
      </c>
      <c r="F173" s="10">
        <v>0.0</v>
      </c>
      <c r="G173" s="10">
        <f t="shared" si="1"/>
        <v>0</v>
      </c>
      <c r="H173" s="8"/>
      <c r="I173" s="8"/>
      <c r="J173" s="8" t="s">
        <v>141</v>
      </c>
      <c r="K173" s="8" t="s">
        <v>1817</v>
      </c>
      <c r="L173" s="8" t="s">
        <v>1225</v>
      </c>
      <c r="M173" s="8" t="s">
        <v>144</v>
      </c>
      <c r="N173" s="8" t="s">
        <v>145</v>
      </c>
      <c r="O173" s="8" t="s">
        <v>141</v>
      </c>
      <c r="P173" s="11">
        <v>0.4</v>
      </c>
      <c r="Q173" s="8" t="s">
        <v>626</v>
      </c>
      <c r="R173" s="8" t="s">
        <v>147</v>
      </c>
      <c r="S173" s="8" t="s">
        <v>148</v>
      </c>
      <c r="T173" s="8" t="s">
        <v>149</v>
      </c>
      <c r="U173" s="8" t="s">
        <v>150</v>
      </c>
      <c r="V173" s="8" t="s">
        <v>151</v>
      </c>
      <c r="W173" s="8" t="s">
        <v>152</v>
      </c>
      <c r="X173" s="8" t="s">
        <v>289</v>
      </c>
      <c r="Y173" s="8" t="s">
        <v>193</v>
      </c>
      <c r="Z173" s="8" t="s">
        <v>2151</v>
      </c>
      <c r="AA173" s="8" t="s">
        <v>141</v>
      </c>
      <c r="AB173" s="8"/>
      <c r="AC173" s="8" t="s">
        <v>2152</v>
      </c>
      <c r="AD173" s="8" t="s">
        <v>180</v>
      </c>
      <c r="AE173" s="8" t="s">
        <v>181</v>
      </c>
      <c r="AF173" s="8" t="s">
        <v>182</v>
      </c>
      <c r="AG173" s="8" t="s">
        <v>182</v>
      </c>
      <c r="AH173" s="8"/>
      <c r="AI173" s="8"/>
      <c r="AJ173" s="8" t="s">
        <v>2153</v>
      </c>
      <c r="AK173" s="8" t="s">
        <v>141</v>
      </c>
      <c r="AL173" s="8" t="s">
        <v>2154</v>
      </c>
    </row>
    <row r="174" ht="15.75" customHeight="1">
      <c r="A174" s="7">
        <v>173.0</v>
      </c>
      <c r="B174" s="8" t="s">
        <v>2155</v>
      </c>
      <c r="C174" s="9" t="s">
        <v>2156</v>
      </c>
      <c r="D174" s="8" t="s">
        <v>1825</v>
      </c>
      <c r="E174" s="8" t="s">
        <v>1825</v>
      </c>
      <c r="F174" s="10">
        <v>0.0</v>
      </c>
      <c r="G174" s="10">
        <f t="shared" si="1"/>
        <v>0</v>
      </c>
      <c r="H174" s="8"/>
      <c r="I174" s="8"/>
      <c r="J174" s="8" t="s">
        <v>141</v>
      </c>
      <c r="K174" s="8" t="s">
        <v>498</v>
      </c>
      <c r="L174" s="8"/>
      <c r="M174" s="8" t="s">
        <v>144</v>
      </c>
      <c r="N174" s="8" t="s">
        <v>170</v>
      </c>
      <c r="O174" s="8" t="s">
        <v>164</v>
      </c>
      <c r="P174" s="11">
        <v>0.0</v>
      </c>
      <c r="Q174" s="8" t="s">
        <v>2157</v>
      </c>
      <c r="R174" s="8" t="s">
        <v>172</v>
      </c>
      <c r="S174" s="8" t="s">
        <v>474</v>
      </c>
      <c r="T174" s="8" t="s">
        <v>477</v>
      </c>
      <c r="U174" s="8" t="s">
        <v>474</v>
      </c>
      <c r="V174" s="8" t="s">
        <v>164</v>
      </c>
      <c r="W174" s="8" t="s">
        <v>333</v>
      </c>
      <c r="X174" s="8" t="s">
        <v>289</v>
      </c>
      <c r="Y174" s="8" t="s">
        <v>154</v>
      </c>
      <c r="Z174" s="8" t="s">
        <v>2158</v>
      </c>
      <c r="AA174" s="8" t="s">
        <v>141</v>
      </c>
      <c r="AB174" s="8"/>
      <c r="AC174" s="8" t="s">
        <v>2159</v>
      </c>
      <c r="AD174" s="8" t="s">
        <v>180</v>
      </c>
      <c r="AE174" s="8" t="s">
        <v>181</v>
      </c>
      <c r="AF174" s="8" t="s">
        <v>182</v>
      </c>
      <c r="AG174" s="8" t="s">
        <v>182</v>
      </c>
      <c r="AH174" s="8"/>
      <c r="AI174" s="8"/>
      <c r="AJ174" s="8" t="s">
        <v>2160</v>
      </c>
      <c r="AK174" s="8" t="s">
        <v>164</v>
      </c>
      <c r="AL174" s="8"/>
    </row>
    <row r="175" ht="15.75" customHeight="1">
      <c r="A175" s="7">
        <v>174.0</v>
      </c>
      <c r="B175" s="8" t="s">
        <v>2161</v>
      </c>
      <c r="C175" s="9" t="s">
        <v>2162</v>
      </c>
      <c r="D175" s="8" t="s">
        <v>1825</v>
      </c>
      <c r="E175" s="8" t="s">
        <v>1825</v>
      </c>
      <c r="F175" s="10">
        <v>0.0</v>
      </c>
      <c r="G175" s="10">
        <f t="shared" si="1"/>
        <v>0</v>
      </c>
      <c r="H175" s="8"/>
      <c r="I175" s="8"/>
      <c r="J175" s="8" t="s">
        <v>141</v>
      </c>
      <c r="K175" s="8" t="s">
        <v>498</v>
      </c>
      <c r="L175" s="8"/>
      <c r="M175" s="8" t="s">
        <v>144</v>
      </c>
      <c r="N175" s="8" t="s">
        <v>170</v>
      </c>
      <c r="O175" s="8" t="s">
        <v>164</v>
      </c>
      <c r="P175" s="11">
        <v>0.0</v>
      </c>
      <c r="Q175" s="8" t="s">
        <v>2163</v>
      </c>
      <c r="R175" s="8" t="s">
        <v>172</v>
      </c>
      <c r="S175" s="8" t="s">
        <v>474</v>
      </c>
      <c r="T175" s="8" t="s">
        <v>477</v>
      </c>
      <c r="U175" s="8" t="s">
        <v>474</v>
      </c>
      <c r="V175" s="8" t="s">
        <v>393</v>
      </c>
      <c r="W175" s="8" t="s">
        <v>333</v>
      </c>
      <c r="X175" s="8" t="s">
        <v>289</v>
      </c>
      <c r="Y175" s="8" t="s">
        <v>589</v>
      </c>
      <c r="Z175" s="8" t="s">
        <v>2164</v>
      </c>
      <c r="AA175" s="8" t="s">
        <v>141</v>
      </c>
      <c r="AB175" s="8"/>
      <c r="AC175" s="8" t="s">
        <v>2165</v>
      </c>
      <c r="AD175" s="8" t="s">
        <v>180</v>
      </c>
      <c r="AE175" s="8" t="s">
        <v>181</v>
      </c>
      <c r="AF175" s="8" t="s">
        <v>182</v>
      </c>
      <c r="AG175" s="8" t="s">
        <v>182</v>
      </c>
      <c r="AH175" s="8"/>
      <c r="AI175" s="8"/>
      <c r="AJ175" s="8" t="s">
        <v>2166</v>
      </c>
      <c r="AK175" s="8" t="s">
        <v>164</v>
      </c>
      <c r="AL175" s="8"/>
    </row>
    <row r="176" ht="15.75" customHeight="1">
      <c r="A176" s="7">
        <v>175.0</v>
      </c>
      <c r="B176" s="8" t="s">
        <v>2167</v>
      </c>
      <c r="C176" s="9" t="s">
        <v>627</v>
      </c>
      <c r="D176" s="8" t="s">
        <v>1825</v>
      </c>
      <c r="E176" s="8" t="s">
        <v>1825</v>
      </c>
      <c r="F176" s="10">
        <v>0.0</v>
      </c>
      <c r="G176" s="10">
        <f t="shared" si="1"/>
        <v>0</v>
      </c>
      <c r="H176" s="8"/>
      <c r="I176" s="8" t="s">
        <v>246</v>
      </c>
      <c r="J176" s="8" t="s">
        <v>141</v>
      </c>
      <c r="K176" s="8" t="s">
        <v>2168</v>
      </c>
      <c r="L176" s="8"/>
      <c r="M176" s="8" t="s">
        <v>144</v>
      </c>
      <c r="N176" s="8" t="s">
        <v>145</v>
      </c>
      <c r="O176" s="8" t="s">
        <v>141</v>
      </c>
      <c r="P176" s="11">
        <v>0.4</v>
      </c>
      <c r="Q176" s="8" t="s">
        <v>628</v>
      </c>
      <c r="R176" s="8" t="s">
        <v>147</v>
      </c>
      <c r="S176" s="8" t="s">
        <v>148</v>
      </c>
      <c r="T176" s="8" t="s">
        <v>149</v>
      </c>
      <c r="U176" s="8" t="s">
        <v>150</v>
      </c>
      <c r="V176" s="8" t="s">
        <v>164</v>
      </c>
      <c r="W176" s="8" t="s">
        <v>152</v>
      </c>
      <c r="X176" s="8" t="s">
        <v>289</v>
      </c>
      <c r="Y176" s="8" t="s">
        <v>193</v>
      </c>
      <c r="Z176" s="8" t="s">
        <v>2169</v>
      </c>
      <c r="AA176" s="8" t="s">
        <v>141</v>
      </c>
      <c r="AB176" s="8"/>
      <c r="AC176" s="8" t="s">
        <v>280</v>
      </c>
      <c r="AD176" s="8" t="s">
        <v>180</v>
      </c>
      <c r="AE176" s="8" t="s">
        <v>181</v>
      </c>
      <c r="AF176" s="8" t="s">
        <v>182</v>
      </c>
      <c r="AG176" s="8" t="s">
        <v>182</v>
      </c>
      <c r="AH176" s="8"/>
      <c r="AI176" s="8"/>
      <c r="AJ176" s="8" t="s">
        <v>2170</v>
      </c>
      <c r="AK176" s="8" t="s">
        <v>164</v>
      </c>
      <c r="AL176" s="8"/>
    </row>
    <row r="177" ht="15.75" customHeight="1">
      <c r="A177" s="7">
        <v>176.0</v>
      </c>
      <c r="B177" s="8" t="s">
        <v>2171</v>
      </c>
      <c r="C177" s="9" t="s">
        <v>2172</v>
      </c>
      <c r="D177" s="8" t="s">
        <v>1825</v>
      </c>
      <c r="E177" s="8" t="s">
        <v>1825</v>
      </c>
      <c r="F177" s="10">
        <v>0.0</v>
      </c>
      <c r="G177" s="10">
        <f t="shared" si="1"/>
        <v>0</v>
      </c>
      <c r="H177" s="8"/>
      <c r="I177" s="8" t="s">
        <v>2173</v>
      </c>
      <c r="J177" s="8" t="s">
        <v>164</v>
      </c>
      <c r="K177" s="8"/>
      <c r="L177" s="8"/>
      <c r="M177" s="8" t="s">
        <v>261</v>
      </c>
      <c r="N177" s="8" t="s">
        <v>170</v>
      </c>
      <c r="O177" s="8" t="s">
        <v>164</v>
      </c>
      <c r="P177" s="11"/>
      <c r="Q177" s="8"/>
      <c r="R177" s="8" t="s">
        <v>172</v>
      </c>
      <c r="S177" s="8" t="s">
        <v>474</v>
      </c>
      <c r="T177" s="8" t="s">
        <v>477</v>
      </c>
      <c r="U177" s="8" t="s">
        <v>474</v>
      </c>
      <c r="V177" s="8" t="s">
        <v>164</v>
      </c>
      <c r="W177" s="8"/>
      <c r="X177" s="8" t="s">
        <v>289</v>
      </c>
      <c r="Y177" s="8" t="s">
        <v>193</v>
      </c>
      <c r="Z177" s="8" t="s">
        <v>2174</v>
      </c>
      <c r="AA177" s="8" t="s">
        <v>195</v>
      </c>
      <c r="AB177" s="8"/>
      <c r="AC177" s="8" t="s">
        <v>2175</v>
      </c>
      <c r="AD177" s="8" t="s">
        <v>180</v>
      </c>
      <c r="AE177" s="8" t="s">
        <v>181</v>
      </c>
      <c r="AF177" s="8" t="s">
        <v>182</v>
      </c>
      <c r="AG177" s="8" t="s">
        <v>182</v>
      </c>
      <c r="AH177" s="8"/>
      <c r="AI177" s="8"/>
      <c r="AJ177" s="8" t="s">
        <v>2176</v>
      </c>
      <c r="AK177" s="8" t="s">
        <v>164</v>
      </c>
      <c r="AL177" s="8"/>
    </row>
    <row r="178" ht="15.75" customHeight="1">
      <c r="A178" s="7">
        <v>177.0</v>
      </c>
      <c r="B178" s="8" t="s">
        <v>2177</v>
      </c>
      <c r="C178" s="9" t="s">
        <v>685</v>
      </c>
      <c r="D178" s="8" t="s">
        <v>1825</v>
      </c>
      <c r="E178" s="8" t="s">
        <v>1825</v>
      </c>
      <c r="F178" s="10">
        <v>0.0</v>
      </c>
      <c r="G178" s="10">
        <f t="shared" si="1"/>
        <v>0</v>
      </c>
      <c r="H178" s="8"/>
      <c r="I178" s="8" t="s">
        <v>2178</v>
      </c>
      <c r="J178" s="8" t="s">
        <v>141</v>
      </c>
      <c r="K178" s="8" t="s">
        <v>498</v>
      </c>
      <c r="L178" s="8"/>
      <c r="M178" s="8" t="s">
        <v>144</v>
      </c>
      <c r="N178" s="8" t="s">
        <v>145</v>
      </c>
      <c r="O178" s="8" t="s">
        <v>141</v>
      </c>
      <c r="P178" s="11">
        <v>0.2</v>
      </c>
      <c r="Q178" s="8" t="s">
        <v>687</v>
      </c>
      <c r="R178" s="8" t="s">
        <v>147</v>
      </c>
      <c r="S178" s="8" t="s">
        <v>148</v>
      </c>
      <c r="T178" s="8" t="s">
        <v>149</v>
      </c>
      <c r="U178" s="8" t="s">
        <v>150</v>
      </c>
      <c r="V178" s="8" t="s">
        <v>164</v>
      </c>
      <c r="W178" s="8" t="s">
        <v>152</v>
      </c>
      <c r="X178" s="8" t="s">
        <v>289</v>
      </c>
      <c r="Y178" s="8" t="s">
        <v>193</v>
      </c>
      <c r="Z178" s="8" t="s">
        <v>2179</v>
      </c>
      <c r="AA178" s="8" t="s">
        <v>141</v>
      </c>
      <c r="AB178" s="8"/>
      <c r="AC178" s="8" t="s">
        <v>2180</v>
      </c>
      <c r="AD178" s="8" t="s">
        <v>180</v>
      </c>
      <c r="AE178" s="8" t="s">
        <v>181</v>
      </c>
      <c r="AF178" s="8" t="s">
        <v>182</v>
      </c>
      <c r="AG178" s="8" t="s">
        <v>182</v>
      </c>
      <c r="AH178" s="8"/>
      <c r="AI178" s="8"/>
      <c r="AJ178" s="8" t="s">
        <v>2181</v>
      </c>
      <c r="AK178" s="8" t="s">
        <v>164</v>
      </c>
      <c r="AL178" s="8"/>
    </row>
    <row r="179" ht="15.75" customHeight="1">
      <c r="A179" s="7">
        <v>178.0</v>
      </c>
      <c r="B179" s="8" t="s">
        <v>2182</v>
      </c>
      <c r="C179" s="9" t="s">
        <v>2183</v>
      </c>
      <c r="D179" s="8" t="s">
        <v>137</v>
      </c>
      <c r="E179" s="8" t="s">
        <v>1559</v>
      </c>
      <c r="F179" s="10">
        <v>3.0</v>
      </c>
      <c r="G179" s="10">
        <f t="shared" si="1"/>
        <v>36</v>
      </c>
      <c r="H179" s="8"/>
      <c r="I179" s="8" t="s">
        <v>2184</v>
      </c>
      <c r="J179" s="8" t="s">
        <v>164</v>
      </c>
      <c r="K179" s="8"/>
      <c r="L179" s="8"/>
      <c r="M179" s="8" t="s">
        <v>261</v>
      </c>
      <c r="N179" s="8" t="s">
        <v>170</v>
      </c>
      <c r="O179" s="8" t="s">
        <v>164</v>
      </c>
      <c r="P179" s="11"/>
      <c r="Q179" s="8"/>
      <c r="R179" s="8" t="s">
        <v>172</v>
      </c>
      <c r="S179" s="8" t="s">
        <v>474</v>
      </c>
      <c r="T179" s="8" t="s">
        <v>477</v>
      </c>
      <c r="U179" s="8" t="s">
        <v>474</v>
      </c>
      <c r="V179" s="8" t="s">
        <v>164</v>
      </c>
      <c r="W179" s="8"/>
      <c r="X179" s="8" t="s">
        <v>289</v>
      </c>
      <c r="Y179" s="8" t="s">
        <v>249</v>
      </c>
      <c r="Z179" s="8" t="s">
        <v>2185</v>
      </c>
      <c r="AA179" s="8" t="s">
        <v>195</v>
      </c>
      <c r="AB179" s="8"/>
      <c r="AC179" s="8" t="s">
        <v>1062</v>
      </c>
      <c r="AD179" s="8" t="s">
        <v>180</v>
      </c>
      <c r="AE179" s="8" t="s">
        <v>181</v>
      </c>
      <c r="AF179" s="8" t="s">
        <v>182</v>
      </c>
      <c r="AG179" s="8" t="s">
        <v>182</v>
      </c>
      <c r="AH179" s="8"/>
      <c r="AI179" s="8"/>
      <c r="AJ179" s="8" t="s">
        <v>2186</v>
      </c>
      <c r="AK179" s="8" t="s">
        <v>164</v>
      </c>
      <c r="AL179" s="8"/>
    </row>
    <row r="180" ht="15.75" customHeight="1">
      <c r="A180" s="7">
        <v>179.0</v>
      </c>
      <c r="B180" s="8" t="s">
        <v>2187</v>
      </c>
      <c r="C180" s="9" t="s">
        <v>2188</v>
      </c>
      <c r="D180" s="8" t="s">
        <v>1825</v>
      </c>
      <c r="E180" s="8" t="s">
        <v>1825</v>
      </c>
      <c r="F180" s="10">
        <v>5.0</v>
      </c>
      <c r="G180" s="10">
        <f t="shared" si="1"/>
        <v>60</v>
      </c>
      <c r="H180" s="8"/>
      <c r="I180" s="8" t="s">
        <v>2189</v>
      </c>
      <c r="J180" s="8" t="s">
        <v>221</v>
      </c>
      <c r="K180" s="8" t="s">
        <v>889</v>
      </c>
      <c r="L180" s="8"/>
      <c r="M180" s="8" t="s">
        <v>144</v>
      </c>
      <c r="N180" s="8" t="s">
        <v>145</v>
      </c>
      <c r="O180" s="8" t="s">
        <v>141</v>
      </c>
      <c r="P180" s="11"/>
      <c r="Q180" s="8"/>
      <c r="R180" s="8" t="s">
        <v>172</v>
      </c>
      <c r="S180" s="8" t="s">
        <v>474</v>
      </c>
      <c r="T180" s="8" t="s">
        <v>477</v>
      </c>
      <c r="U180" s="8" t="s">
        <v>474</v>
      </c>
      <c r="V180" s="8" t="s">
        <v>164</v>
      </c>
      <c r="W180" s="8"/>
      <c r="X180" s="8" t="s">
        <v>289</v>
      </c>
      <c r="Y180" s="8" t="s">
        <v>193</v>
      </c>
      <c r="Z180" s="8" t="s">
        <v>2190</v>
      </c>
      <c r="AA180" s="8" t="s">
        <v>195</v>
      </c>
      <c r="AB180" s="8"/>
      <c r="AC180" s="8" t="s">
        <v>2191</v>
      </c>
      <c r="AD180" s="8" t="s">
        <v>180</v>
      </c>
      <c r="AE180" s="8" t="s">
        <v>181</v>
      </c>
      <c r="AF180" s="8" t="s">
        <v>182</v>
      </c>
      <c r="AG180" s="8" t="s">
        <v>182</v>
      </c>
      <c r="AH180" s="8"/>
      <c r="AI180" s="8"/>
      <c r="AJ180" s="8" t="s">
        <v>2192</v>
      </c>
      <c r="AK180" s="8" t="s">
        <v>164</v>
      </c>
      <c r="AL180" s="8"/>
    </row>
    <row r="181" ht="15.75" customHeight="1">
      <c r="A181" s="7">
        <v>180.0</v>
      </c>
      <c r="B181" s="8" t="s">
        <v>2193</v>
      </c>
      <c r="C181" s="9" t="s">
        <v>587</v>
      </c>
      <c r="D181" s="8" t="s">
        <v>1825</v>
      </c>
      <c r="E181" s="8" t="s">
        <v>1825</v>
      </c>
      <c r="F181" s="10">
        <v>0.0</v>
      </c>
      <c r="G181" s="10">
        <f t="shared" si="1"/>
        <v>0</v>
      </c>
      <c r="H181" s="8"/>
      <c r="I181" s="8"/>
      <c r="J181" s="8" t="s">
        <v>141</v>
      </c>
      <c r="K181" s="8" t="s">
        <v>169</v>
      </c>
      <c r="L181" s="8" t="s">
        <v>1225</v>
      </c>
      <c r="M181" s="8" t="s">
        <v>144</v>
      </c>
      <c r="N181" s="8" t="s">
        <v>145</v>
      </c>
      <c r="O181" s="8" t="s">
        <v>141</v>
      </c>
      <c r="P181" s="11">
        <v>0.5</v>
      </c>
      <c r="Q181" s="8" t="s">
        <v>588</v>
      </c>
      <c r="R181" s="8" t="s">
        <v>147</v>
      </c>
      <c r="S181" s="8" t="s">
        <v>148</v>
      </c>
      <c r="T181" s="8" t="s">
        <v>149</v>
      </c>
      <c r="U181" s="8" t="s">
        <v>150</v>
      </c>
      <c r="V181" s="8" t="s">
        <v>151</v>
      </c>
      <c r="W181" s="8" t="s">
        <v>152</v>
      </c>
      <c r="X181" s="8" t="s">
        <v>289</v>
      </c>
      <c r="Y181" s="8" t="s">
        <v>193</v>
      </c>
      <c r="Z181" s="8" t="s">
        <v>2194</v>
      </c>
      <c r="AA181" s="8" t="s">
        <v>141</v>
      </c>
      <c r="AB181" s="8"/>
      <c r="AC181" s="8" t="s">
        <v>2195</v>
      </c>
      <c r="AD181" s="8" t="s">
        <v>180</v>
      </c>
      <c r="AE181" s="8" t="s">
        <v>181</v>
      </c>
      <c r="AF181" s="8" t="s">
        <v>182</v>
      </c>
      <c r="AG181" s="8" t="s">
        <v>182</v>
      </c>
      <c r="AH181" s="8"/>
      <c r="AI181" s="8"/>
      <c r="AJ181" s="8" t="s">
        <v>2196</v>
      </c>
      <c r="AK181" s="8" t="s">
        <v>164</v>
      </c>
      <c r="AL181" s="8"/>
    </row>
    <row r="182" ht="15.75" customHeight="1">
      <c r="A182" s="7">
        <v>181.0</v>
      </c>
      <c r="B182" s="8" t="s">
        <v>2197</v>
      </c>
      <c r="C182" s="9" t="s">
        <v>526</v>
      </c>
      <c r="D182" s="8" t="s">
        <v>1825</v>
      </c>
      <c r="E182" s="8" t="s">
        <v>1825</v>
      </c>
      <c r="F182" s="10">
        <v>0.0</v>
      </c>
      <c r="G182" s="10">
        <f t="shared" si="1"/>
        <v>0</v>
      </c>
      <c r="H182" s="8"/>
      <c r="I182" s="8" t="s">
        <v>246</v>
      </c>
      <c r="J182" s="8" t="s">
        <v>141</v>
      </c>
      <c r="K182" s="8" t="s">
        <v>1817</v>
      </c>
      <c r="L182" s="8"/>
      <c r="M182" s="8" t="s">
        <v>144</v>
      </c>
      <c r="N182" s="8" t="s">
        <v>145</v>
      </c>
      <c r="O182" s="8" t="s">
        <v>141</v>
      </c>
      <c r="P182" s="11">
        <v>0.7</v>
      </c>
      <c r="Q182" s="8" t="s">
        <v>530</v>
      </c>
      <c r="R182" s="8" t="s">
        <v>147</v>
      </c>
      <c r="S182" s="8" t="s">
        <v>148</v>
      </c>
      <c r="T182" s="8" t="s">
        <v>149</v>
      </c>
      <c r="U182" s="8" t="s">
        <v>150</v>
      </c>
      <c r="V182" s="8" t="s">
        <v>151</v>
      </c>
      <c r="W182" s="8" t="s">
        <v>152</v>
      </c>
      <c r="X182" s="8" t="s">
        <v>289</v>
      </c>
      <c r="Y182" s="8" t="s">
        <v>193</v>
      </c>
      <c r="Z182" s="8" t="s">
        <v>2198</v>
      </c>
      <c r="AA182" s="8" t="s">
        <v>141</v>
      </c>
      <c r="AB182" s="8"/>
      <c r="AC182" s="8" t="s">
        <v>2199</v>
      </c>
      <c r="AD182" s="8" t="s">
        <v>180</v>
      </c>
      <c r="AE182" s="8" t="s">
        <v>181</v>
      </c>
      <c r="AF182" s="8" t="s">
        <v>182</v>
      </c>
      <c r="AG182" s="8" t="s">
        <v>182</v>
      </c>
      <c r="AH182" s="8"/>
      <c r="AI182" s="8"/>
      <c r="AJ182" s="8" t="s">
        <v>2200</v>
      </c>
      <c r="AK182" s="8" t="s">
        <v>164</v>
      </c>
      <c r="AL182" s="8"/>
    </row>
    <row r="183" ht="15.75" customHeight="1">
      <c r="A183" s="7">
        <v>182.0</v>
      </c>
      <c r="B183" s="8" t="s">
        <v>2201</v>
      </c>
      <c r="C183" s="9" t="s">
        <v>2202</v>
      </c>
      <c r="D183" s="8" t="s">
        <v>137</v>
      </c>
      <c r="E183" s="8" t="s">
        <v>1685</v>
      </c>
      <c r="F183" s="10">
        <v>250.0</v>
      </c>
      <c r="G183" s="10">
        <f t="shared" si="1"/>
        <v>3000</v>
      </c>
      <c r="H183" s="8"/>
      <c r="I183" s="8" t="s">
        <v>2203</v>
      </c>
      <c r="J183" s="8" t="s">
        <v>221</v>
      </c>
      <c r="K183" s="8" t="s">
        <v>2051</v>
      </c>
      <c r="L183" s="8"/>
      <c r="M183" s="8" t="s">
        <v>261</v>
      </c>
      <c r="N183" s="8" t="s">
        <v>262</v>
      </c>
      <c r="O183" s="8" t="s">
        <v>164</v>
      </c>
      <c r="P183" s="11"/>
      <c r="Q183" s="8"/>
      <c r="R183" s="8" t="s">
        <v>172</v>
      </c>
      <c r="S183" s="8" t="s">
        <v>474</v>
      </c>
      <c r="T183" s="8" t="s">
        <v>477</v>
      </c>
      <c r="U183" s="8" t="s">
        <v>474</v>
      </c>
      <c r="V183" s="8" t="s">
        <v>164</v>
      </c>
      <c r="W183" s="8"/>
      <c r="X183" s="8" t="s">
        <v>289</v>
      </c>
      <c r="Y183" s="8" t="s">
        <v>589</v>
      </c>
      <c r="Z183" s="8" t="s">
        <v>2204</v>
      </c>
      <c r="AA183" s="8" t="s">
        <v>141</v>
      </c>
      <c r="AB183" s="8"/>
      <c r="AC183" s="8" t="s">
        <v>2205</v>
      </c>
      <c r="AD183" s="8" t="s">
        <v>252</v>
      </c>
      <c r="AE183" s="8" t="s">
        <v>181</v>
      </c>
      <c r="AF183" s="8" t="s">
        <v>253</v>
      </c>
      <c r="AG183" s="8" t="s">
        <v>182</v>
      </c>
      <c r="AH183" s="8" t="s">
        <v>1432</v>
      </c>
      <c r="AI183" s="8"/>
      <c r="AJ183" s="8" t="s">
        <v>2206</v>
      </c>
      <c r="AK183" s="8" t="s">
        <v>164</v>
      </c>
      <c r="AL183" s="8"/>
    </row>
    <row r="184" ht="15.75" customHeight="1">
      <c r="A184" s="7">
        <v>183.0</v>
      </c>
      <c r="B184" s="8" t="s">
        <v>2207</v>
      </c>
      <c r="C184" s="9" t="s">
        <v>2208</v>
      </c>
      <c r="D184" s="8" t="s">
        <v>137</v>
      </c>
      <c r="E184" s="8" t="s">
        <v>1685</v>
      </c>
      <c r="F184" s="10">
        <v>200.0</v>
      </c>
      <c r="G184" s="10">
        <f t="shared" si="1"/>
        <v>2400</v>
      </c>
      <c r="H184" s="8"/>
      <c r="I184" s="8" t="s">
        <v>2203</v>
      </c>
      <c r="J184" s="8" t="s">
        <v>221</v>
      </c>
      <c r="K184" s="8" t="s">
        <v>2051</v>
      </c>
      <c r="L184" s="8"/>
      <c r="M184" s="8" t="s">
        <v>261</v>
      </c>
      <c r="N184" s="8" t="s">
        <v>262</v>
      </c>
      <c r="O184" s="8" t="s">
        <v>164</v>
      </c>
      <c r="P184" s="11"/>
      <c r="Q184" s="8"/>
      <c r="R184" s="8" t="s">
        <v>172</v>
      </c>
      <c r="S184" s="8" t="s">
        <v>474</v>
      </c>
      <c r="T184" s="8" t="s">
        <v>477</v>
      </c>
      <c r="U184" s="8" t="s">
        <v>474</v>
      </c>
      <c r="V184" s="8" t="s">
        <v>164</v>
      </c>
      <c r="W184" s="8"/>
      <c r="X184" s="8" t="s">
        <v>289</v>
      </c>
      <c r="Y184" s="8" t="s">
        <v>589</v>
      </c>
      <c r="Z184" s="8" t="s">
        <v>2209</v>
      </c>
      <c r="AA184" s="8" t="s">
        <v>141</v>
      </c>
      <c r="AB184" s="8"/>
      <c r="AC184" s="8" t="s">
        <v>2210</v>
      </c>
      <c r="AD184" s="8" t="s">
        <v>252</v>
      </c>
      <c r="AE184" s="8" t="s">
        <v>181</v>
      </c>
      <c r="AF184" s="8" t="s">
        <v>253</v>
      </c>
      <c r="AG184" s="8" t="s">
        <v>182</v>
      </c>
      <c r="AH184" s="8" t="s">
        <v>1432</v>
      </c>
      <c r="AI184" s="8"/>
      <c r="AJ184" s="8" t="s">
        <v>2211</v>
      </c>
      <c r="AK184" s="8" t="s">
        <v>164</v>
      </c>
      <c r="AL184" s="8"/>
    </row>
    <row r="185" ht="15.75" customHeight="1">
      <c r="A185" s="7">
        <v>184.0</v>
      </c>
      <c r="B185" s="8" t="s">
        <v>2212</v>
      </c>
      <c r="C185" s="9" t="s">
        <v>2213</v>
      </c>
      <c r="D185" s="8" t="s">
        <v>137</v>
      </c>
      <c r="E185" s="8" t="s">
        <v>1685</v>
      </c>
      <c r="F185" s="10">
        <v>150.0</v>
      </c>
      <c r="G185" s="10">
        <f t="shared" si="1"/>
        <v>1800</v>
      </c>
      <c r="H185" s="8"/>
      <c r="I185" s="8" t="s">
        <v>521</v>
      </c>
      <c r="J185" s="8" t="s">
        <v>164</v>
      </c>
      <c r="K185" s="8"/>
      <c r="L185" s="8"/>
      <c r="M185" s="8" t="s">
        <v>261</v>
      </c>
      <c r="N185" s="8" t="s">
        <v>170</v>
      </c>
      <c r="O185" s="8" t="s">
        <v>164</v>
      </c>
      <c r="P185" s="11"/>
      <c r="Q185" s="8"/>
      <c r="R185" s="8" t="s">
        <v>172</v>
      </c>
      <c r="S185" s="8" t="s">
        <v>173</v>
      </c>
      <c r="T185" s="8" t="s">
        <v>174</v>
      </c>
      <c r="U185" s="8" t="s">
        <v>173</v>
      </c>
      <c r="V185" s="8" t="s">
        <v>164</v>
      </c>
      <c r="W185" s="8"/>
      <c r="X185" s="8" t="s">
        <v>289</v>
      </c>
      <c r="Y185" s="8" t="s">
        <v>589</v>
      </c>
      <c r="Z185" s="8" t="s">
        <v>2214</v>
      </c>
      <c r="AA185" s="8" t="s">
        <v>141</v>
      </c>
      <c r="AB185" s="8" t="s">
        <v>1884</v>
      </c>
      <c r="AC185" s="8" t="s">
        <v>2215</v>
      </c>
      <c r="AD185" s="8" t="s">
        <v>252</v>
      </c>
      <c r="AE185" s="8" t="s">
        <v>181</v>
      </c>
      <c r="AF185" s="8" t="s">
        <v>253</v>
      </c>
      <c r="AG185" s="8" t="s">
        <v>182</v>
      </c>
      <c r="AH185" s="8" t="s">
        <v>1432</v>
      </c>
      <c r="AI185" s="8"/>
      <c r="AJ185" s="8" t="s">
        <v>2216</v>
      </c>
      <c r="AK185" s="8" t="s">
        <v>141</v>
      </c>
      <c r="AL185" s="8" t="s">
        <v>2217</v>
      </c>
    </row>
    <row r="186" ht="15.75" customHeight="1">
      <c r="A186" s="7">
        <v>185.0</v>
      </c>
      <c r="B186" s="8" t="s">
        <v>2218</v>
      </c>
      <c r="C186" s="9" t="s">
        <v>2219</v>
      </c>
      <c r="D186" s="8" t="s">
        <v>137</v>
      </c>
      <c r="E186" s="8" t="s">
        <v>1685</v>
      </c>
      <c r="F186" s="10">
        <v>120.0</v>
      </c>
      <c r="G186" s="10">
        <f t="shared" si="1"/>
        <v>1440</v>
      </c>
      <c r="H186" s="8" t="s">
        <v>2220</v>
      </c>
      <c r="I186" s="8" t="s">
        <v>521</v>
      </c>
      <c r="J186" s="8" t="s">
        <v>164</v>
      </c>
      <c r="K186" s="8"/>
      <c r="L186" s="8"/>
      <c r="M186" s="8" t="s">
        <v>261</v>
      </c>
      <c r="N186" s="8" t="s">
        <v>170</v>
      </c>
      <c r="O186" s="8" t="s">
        <v>164</v>
      </c>
      <c r="P186" s="11"/>
      <c r="Q186" s="8"/>
      <c r="R186" s="8" t="s">
        <v>172</v>
      </c>
      <c r="S186" s="8" t="s">
        <v>173</v>
      </c>
      <c r="T186" s="8" t="s">
        <v>174</v>
      </c>
      <c r="U186" s="8" t="s">
        <v>173</v>
      </c>
      <c r="V186" s="8" t="s">
        <v>164</v>
      </c>
      <c r="W186" s="8"/>
      <c r="X186" s="8" t="s">
        <v>289</v>
      </c>
      <c r="Y186" s="8" t="s">
        <v>589</v>
      </c>
      <c r="Z186" s="8" t="s">
        <v>2221</v>
      </c>
      <c r="AA186" s="8" t="s">
        <v>141</v>
      </c>
      <c r="AB186" s="8" t="s">
        <v>1886</v>
      </c>
      <c r="AC186" s="8" t="s">
        <v>2222</v>
      </c>
      <c r="AD186" s="8" t="s">
        <v>252</v>
      </c>
      <c r="AE186" s="8" t="s">
        <v>181</v>
      </c>
      <c r="AF186" s="8" t="s">
        <v>253</v>
      </c>
      <c r="AG186" s="8" t="s">
        <v>182</v>
      </c>
      <c r="AH186" s="8" t="s">
        <v>1432</v>
      </c>
      <c r="AI186" s="8"/>
      <c r="AJ186" s="8" t="s">
        <v>2223</v>
      </c>
      <c r="AK186" s="8" t="s">
        <v>141</v>
      </c>
      <c r="AL186" s="8" t="s">
        <v>2217</v>
      </c>
    </row>
    <row r="187" ht="15.75" customHeight="1">
      <c r="A187" s="7">
        <v>186.0</v>
      </c>
      <c r="B187" s="8" t="s">
        <v>2224</v>
      </c>
      <c r="C187" s="9" t="s">
        <v>2225</v>
      </c>
      <c r="D187" s="8" t="s">
        <v>137</v>
      </c>
      <c r="E187" s="8" t="s">
        <v>1685</v>
      </c>
      <c r="F187" s="10">
        <v>25.0</v>
      </c>
      <c r="G187" s="10">
        <f t="shared" si="1"/>
        <v>300</v>
      </c>
      <c r="H187" s="8"/>
      <c r="I187" s="8" t="s">
        <v>521</v>
      </c>
      <c r="J187" s="8" t="s">
        <v>221</v>
      </c>
      <c r="K187" s="8" t="s">
        <v>2051</v>
      </c>
      <c r="L187" s="8"/>
      <c r="M187" s="8" t="s">
        <v>261</v>
      </c>
      <c r="N187" s="8" t="s">
        <v>170</v>
      </c>
      <c r="O187" s="8" t="s">
        <v>164</v>
      </c>
      <c r="P187" s="11"/>
      <c r="Q187" s="8"/>
      <c r="R187" s="8" t="s">
        <v>172</v>
      </c>
      <c r="S187" s="8" t="s">
        <v>474</v>
      </c>
      <c r="T187" s="8" t="s">
        <v>477</v>
      </c>
      <c r="U187" s="8" t="s">
        <v>474</v>
      </c>
      <c r="V187" s="8" t="s">
        <v>164</v>
      </c>
      <c r="W187" s="8"/>
      <c r="X187" s="8" t="s">
        <v>289</v>
      </c>
      <c r="Y187" s="8" t="s">
        <v>154</v>
      </c>
      <c r="Z187" s="8" t="s">
        <v>2226</v>
      </c>
      <c r="AA187" s="8" t="s">
        <v>141</v>
      </c>
      <c r="AB187" s="8"/>
      <c r="AC187" s="8" t="s">
        <v>2227</v>
      </c>
      <c r="AD187" s="8" t="s">
        <v>252</v>
      </c>
      <c r="AE187" s="8" t="s">
        <v>181</v>
      </c>
      <c r="AF187" s="8" t="s">
        <v>253</v>
      </c>
      <c r="AG187" s="8" t="s">
        <v>182</v>
      </c>
      <c r="AH187" s="8" t="s">
        <v>1432</v>
      </c>
      <c r="AI187" s="8"/>
      <c r="AJ187" s="8" t="s">
        <v>2228</v>
      </c>
      <c r="AK187" s="8" t="s">
        <v>164</v>
      </c>
      <c r="AL187" s="8"/>
    </row>
    <row r="188" ht="15.75" customHeight="1">
      <c r="A188" s="7">
        <v>187.0</v>
      </c>
      <c r="B188" s="8" t="s">
        <v>2229</v>
      </c>
      <c r="C188" s="9" t="s">
        <v>2230</v>
      </c>
      <c r="D188" s="8" t="s">
        <v>137</v>
      </c>
      <c r="E188" s="8" t="s">
        <v>1685</v>
      </c>
      <c r="F188" s="10">
        <v>250.0</v>
      </c>
      <c r="G188" s="10">
        <f t="shared" si="1"/>
        <v>3000</v>
      </c>
      <c r="H188" s="8"/>
      <c r="I188" s="8" t="s">
        <v>1998</v>
      </c>
      <c r="J188" s="8" t="s">
        <v>141</v>
      </c>
      <c r="K188" s="8" t="s">
        <v>509</v>
      </c>
      <c r="L188" s="8"/>
      <c r="M188" s="8" t="s">
        <v>144</v>
      </c>
      <c r="N188" s="8" t="s">
        <v>145</v>
      </c>
      <c r="O188" s="8" t="s">
        <v>141</v>
      </c>
      <c r="P188" s="11"/>
      <c r="Q188" s="8"/>
      <c r="R188" s="8" t="s">
        <v>172</v>
      </c>
      <c r="S188" s="8" t="s">
        <v>474</v>
      </c>
      <c r="T188" s="8" t="s">
        <v>477</v>
      </c>
      <c r="U188" s="8" t="s">
        <v>474</v>
      </c>
      <c r="V188" s="8" t="s">
        <v>164</v>
      </c>
      <c r="W188" s="8"/>
      <c r="X188" s="8" t="s">
        <v>289</v>
      </c>
      <c r="Y188" s="8" t="s">
        <v>193</v>
      </c>
      <c r="Z188" s="8" t="s">
        <v>2231</v>
      </c>
      <c r="AA188" s="8" t="s">
        <v>141</v>
      </c>
      <c r="AB188" s="8"/>
      <c r="AC188" s="8" t="s">
        <v>2232</v>
      </c>
      <c r="AD188" s="8" t="s">
        <v>252</v>
      </c>
      <c r="AE188" s="8" t="s">
        <v>181</v>
      </c>
      <c r="AF188" s="8" t="s">
        <v>253</v>
      </c>
      <c r="AG188" s="8" t="s">
        <v>182</v>
      </c>
      <c r="AH188" s="8" t="s">
        <v>1436</v>
      </c>
      <c r="AI188" s="8"/>
      <c r="AJ188" s="8" t="s">
        <v>2233</v>
      </c>
      <c r="AK188" s="8" t="s">
        <v>164</v>
      </c>
      <c r="AL188" s="8"/>
    </row>
    <row r="189" ht="15.75" customHeight="1">
      <c r="A189" s="7">
        <v>188.0</v>
      </c>
      <c r="B189" s="8" t="s">
        <v>2234</v>
      </c>
      <c r="C189" s="9" t="s">
        <v>2235</v>
      </c>
      <c r="D189" s="8" t="s">
        <v>137</v>
      </c>
      <c r="E189" s="8" t="s">
        <v>1685</v>
      </c>
      <c r="F189" s="10">
        <v>150.0</v>
      </c>
      <c r="G189" s="10">
        <f t="shared" si="1"/>
        <v>1800</v>
      </c>
      <c r="H189" s="8"/>
      <c r="I189" s="8" t="s">
        <v>1877</v>
      </c>
      <c r="J189" s="8" t="s">
        <v>141</v>
      </c>
      <c r="K189" s="8" t="s">
        <v>509</v>
      </c>
      <c r="L189" s="8"/>
      <c r="M189" s="8" t="s">
        <v>144</v>
      </c>
      <c r="N189" s="8" t="s">
        <v>145</v>
      </c>
      <c r="O189" s="8" t="s">
        <v>141</v>
      </c>
      <c r="P189" s="11"/>
      <c r="Q189" s="8"/>
      <c r="R189" s="8" t="s">
        <v>172</v>
      </c>
      <c r="S189" s="8" t="s">
        <v>173</v>
      </c>
      <c r="T189" s="8" t="s">
        <v>174</v>
      </c>
      <c r="U189" s="8" t="s">
        <v>173</v>
      </c>
      <c r="V189" s="8" t="s">
        <v>164</v>
      </c>
      <c r="W189" s="8"/>
      <c r="X189" s="8" t="s">
        <v>289</v>
      </c>
      <c r="Y189" s="8" t="s">
        <v>154</v>
      </c>
      <c r="Z189" s="8" t="s">
        <v>2236</v>
      </c>
      <c r="AA189" s="8" t="s">
        <v>141</v>
      </c>
      <c r="AB189" s="8" t="s">
        <v>1884</v>
      </c>
      <c r="AC189" s="8" t="s">
        <v>2237</v>
      </c>
      <c r="AD189" s="8" t="s">
        <v>252</v>
      </c>
      <c r="AE189" s="8" t="s">
        <v>181</v>
      </c>
      <c r="AF189" s="8" t="s">
        <v>253</v>
      </c>
      <c r="AG189" s="8" t="s">
        <v>182</v>
      </c>
      <c r="AH189" s="8" t="s">
        <v>1436</v>
      </c>
      <c r="AI189" s="8"/>
      <c r="AJ189" s="8" t="s">
        <v>2238</v>
      </c>
      <c r="AK189" s="8" t="s">
        <v>141</v>
      </c>
      <c r="AL189" s="8" t="s">
        <v>2217</v>
      </c>
    </row>
    <row r="190" ht="15.75" customHeight="1">
      <c r="A190" s="7">
        <v>189.0</v>
      </c>
      <c r="B190" s="8" t="s">
        <v>2239</v>
      </c>
      <c r="C190" s="9" t="s">
        <v>2240</v>
      </c>
      <c r="D190" s="8" t="s">
        <v>137</v>
      </c>
      <c r="E190" s="8" t="s">
        <v>1685</v>
      </c>
      <c r="F190" s="10">
        <v>90.0</v>
      </c>
      <c r="G190" s="10">
        <f t="shared" si="1"/>
        <v>1080</v>
      </c>
      <c r="H190" s="8"/>
      <c r="I190" s="8" t="s">
        <v>1998</v>
      </c>
      <c r="J190" s="8" t="s">
        <v>221</v>
      </c>
      <c r="K190" s="8" t="s">
        <v>1999</v>
      </c>
      <c r="L190" s="8"/>
      <c r="M190" s="8" t="s">
        <v>144</v>
      </c>
      <c r="N190" s="8" t="s">
        <v>145</v>
      </c>
      <c r="O190" s="8" t="s">
        <v>141</v>
      </c>
      <c r="P190" s="11"/>
      <c r="Q190" s="8"/>
      <c r="R190" s="8" t="s">
        <v>172</v>
      </c>
      <c r="S190" s="8" t="s">
        <v>474</v>
      </c>
      <c r="T190" s="8" t="s">
        <v>477</v>
      </c>
      <c r="U190" s="8" t="s">
        <v>474</v>
      </c>
      <c r="V190" s="8" t="s">
        <v>164</v>
      </c>
      <c r="W190" s="8"/>
      <c r="X190" s="8" t="s">
        <v>289</v>
      </c>
      <c r="Y190" s="8" t="s">
        <v>154</v>
      </c>
      <c r="Z190" s="8" t="s">
        <v>2241</v>
      </c>
      <c r="AA190" s="8" t="s">
        <v>141</v>
      </c>
      <c r="AB190" s="8"/>
      <c r="AC190" s="8" t="s">
        <v>2242</v>
      </c>
      <c r="AD190" s="8" t="s">
        <v>252</v>
      </c>
      <c r="AE190" s="8" t="s">
        <v>181</v>
      </c>
      <c r="AF190" s="8" t="s">
        <v>253</v>
      </c>
      <c r="AG190" s="8" t="s">
        <v>182</v>
      </c>
      <c r="AH190" s="8" t="s">
        <v>1440</v>
      </c>
      <c r="AI190" s="8"/>
      <c r="AJ190" s="8" t="s">
        <v>2243</v>
      </c>
      <c r="AK190" s="8" t="s">
        <v>164</v>
      </c>
      <c r="AL190" s="8"/>
    </row>
    <row r="191" ht="15.75" customHeight="1">
      <c r="A191" s="7">
        <v>190.0</v>
      </c>
      <c r="B191" s="8" t="s">
        <v>2244</v>
      </c>
      <c r="C191" s="9" t="s">
        <v>2245</v>
      </c>
      <c r="D191" s="8" t="s">
        <v>137</v>
      </c>
      <c r="E191" s="8" t="s">
        <v>1685</v>
      </c>
      <c r="F191" s="10">
        <v>400.0</v>
      </c>
      <c r="G191" s="10">
        <f t="shared" si="1"/>
        <v>4800</v>
      </c>
      <c r="H191" s="8"/>
      <c r="I191" s="8" t="s">
        <v>2246</v>
      </c>
      <c r="J191" s="8" t="s">
        <v>164</v>
      </c>
      <c r="K191" s="8"/>
      <c r="L191" s="8"/>
      <c r="M191" s="8" t="s">
        <v>261</v>
      </c>
      <c r="N191" s="8" t="s">
        <v>170</v>
      </c>
      <c r="O191" s="8" t="s">
        <v>164</v>
      </c>
      <c r="P191" s="11"/>
      <c r="Q191" s="8"/>
      <c r="R191" s="8" t="s">
        <v>172</v>
      </c>
      <c r="S191" s="8" t="s">
        <v>474</v>
      </c>
      <c r="T191" s="8" t="s">
        <v>477</v>
      </c>
      <c r="U191" s="8" t="s">
        <v>474</v>
      </c>
      <c r="V191" s="8" t="s">
        <v>164</v>
      </c>
      <c r="W191" s="8"/>
      <c r="X191" s="8" t="s">
        <v>289</v>
      </c>
      <c r="Y191" s="8" t="s">
        <v>154</v>
      </c>
      <c r="Z191" s="8" t="s">
        <v>2247</v>
      </c>
      <c r="AA191" s="8" t="s">
        <v>141</v>
      </c>
      <c r="AB191" s="8"/>
      <c r="AC191" s="8" t="s">
        <v>2248</v>
      </c>
      <c r="AD191" s="8" t="s">
        <v>180</v>
      </c>
      <c r="AE191" s="8" t="s">
        <v>181</v>
      </c>
      <c r="AF191" s="8" t="s">
        <v>182</v>
      </c>
      <c r="AG191" s="8" t="s">
        <v>182</v>
      </c>
      <c r="AH191" s="8"/>
      <c r="AI191" s="8"/>
      <c r="AJ191" s="8" t="s">
        <v>2249</v>
      </c>
      <c r="AK191" s="8" t="s">
        <v>164</v>
      </c>
      <c r="AL191" s="8"/>
    </row>
    <row r="192" ht="15.75" customHeight="1">
      <c r="A192" s="7">
        <v>191.0</v>
      </c>
      <c r="B192" s="8" t="s">
        <v>2250</v>
      </c>
      <c r="C192" s="9" t="s">
        <v>2251</v>
      </c>
      <c r="D192" s="8" t="s">
        <v>137</v>
      </c>
      <c r="E192" s="8" t="s">
        <v>1685</v>
      </c>
      <c r="F192" s="10">
        <v>15.0</v>
      </c>
      <c r="G192" s="10">
        <f t="shared" si="1"/>
        <v>180</v>
      </c>
      <c r="H192" s="8"/>
      <c r="I192" s="8" t="s">
        <v>2046</v>
      </c>
      <c r="J192" s="8" t="s">
        <v>164</v>
      </c>
      <c r="K192" s="8"/>
      <c r="L192" s="8"/>
      <c r="M192" s="8" t="s">
        <v>261</v>
      </c>
      <c r="N192" s="8" t="s">
        <v>170</v>
      </c>
      <c r="O192" s="8" t="s">
        <v>164</v>
      </c>
      <c r="P192" s="11"/>
      <c r="Q192" s="8"/>
      <c r="R192" s="8" t="s">
        <v>172</v>
      </c>
      <c r="S192" s="8" t="s">
        <v>474</v>
      </c>
      <c r="T192" s="8" t="s">
        <v>477</v>
      </c>
      <c r="U192" s="8" t="s">
        <v>474</v>
      </c>
      <c r="V192" s="8" t="s">
        <v>164</v>
      </c>
      <c r="W192" s="8"/>
      <c r="X192" s="8" t="s">
        <v>289</v>
      </c>
      <c r="Y192" s="8" t="s">
        <v>154</v>
      </c>
      <c r="Z192" s="8" t="s">
        <v>2252</v>
      </c>
      <c r="AA192" s="8" t="s">
        <v>141</v>
      </c>
      <c r="AB192" s="8"/>
      <c r="AC192" s="8" t="s">
        <v>2253</v>
      </c>
      <c r="AD192" s="8" t="s">
        <v>180</v>
      </c>
      <c r="AE192" s="8" t="s">
        <v>181</v>
      </c>
      <c r="AF192" s="8" t="s">
        <v>182</v>
      </c>
      <c r="AG192" s="8" t="s">
        <v>182</v>
      </c>
      <c r="AH192" s="8"/>
      <c r="AI192" s="8"/>
      <c r="AJ192" s="8" t="s">
        <v>2254</v>
      </c>
      <c r="AK192" s="8" t="s">
        <v>164</v>
      </c>
      <c r="AL192" s="8"/>
    </row>
    <row r="193" ht="15.75" customHeight="1">
      <c r="A193" s="7">
        <v>192.0</v>
      </c>
      <c r="B193" s="8" t="s">
        <v>2255</v>
      </c>
      <c r="C193" s="9" t="s">
        <v>2256</v>
      </c>
      <c r="D193" s="8" t="s">
        <v>137</v>
      </c>
      <c r="E193" s="8" t="s">
        <v>1685</v>
      </c>
      <c r="F193" s="10">
        <v>15.0</v>
      </c>
      <c r="G193" s="10">
        <f t="shared" si="1"/>
        <v>180</v>
      </c>
      <c r="H193" s="8"/>
      <c r="I193" s="8" t="s">
        <v>2257</v>
      </c>
      <c r="J193" s="8" t="s">
        <v>164</v>
      </c>
      <c r="K193" s="8"/>
      <c r="L193" s="8"/>
      <c r="M193" s="8" t="s">
        <v>261</v>
      </c>
      <c r="N193" s="8" t="s">
        <v>170</v>
      </c>
      <c r="O193" s="8" t="s">
        <v>164</v>
      </c>
      <c r="P193" s="11"/>
      <c r="Q193" s="8"/>
      <c r="R193" s="8" t="s">
        <v>172</v>
      </c>
      <c r="S193" s="8" t="s">
        <v>173</v>
      </c>
      <c r="T193" s="8" t="s">
        <v>174</v>
      </c>
      <c r="U193" s="8" t="s">
        <v>173</v>
      </c>
      <c r="V193" s="8" t="s">
        <v>164</v>
      </c>
      <c r="W193" s="8"/>
      <c r="X193" s="8" t="s">
        <v>289</v>
      </c>
      <c r="Y193" s="8" t="s">
        <v>154</v>
      </c>
      <c r="Z193" s="8" t="s">
        <v>2258</v>
      </c>
      <c r="AA193" s="8" t="s">
        <v>141</v>
      </c>
      <c r="AB193" s="8" t="s">
        <v>1884</v>
      </c>
      <c r="AC193" s="8" t="s">
        <v>2259</v>
      </c>
      <c r="AD193" s="8" t="s">
        <v>252</v>
      </c>
      <c r="AE193" s="8" t="s">
        <v>181</v>
      </c>
      <c r="AF193" s="8" t="s">
        <v>253</v>
      </c>
      <c r="AG193" s="8" t="s">
        <v>182</v>
      </c>
      <c r="AH193" s="8" t="s">
        <v>1444</v>
      </c>
      <c r="AI193" s="8"/>
      <c r="AJ193" s="8" t="s">
        <v>2260</v>
      </c>
      <c r="AK193" s="8" t="s">
        <v>141</v>
      </c>
      <c r="AL193" s="8" t="s">
        <v>2217</v>
      </c>
    </row>
    <row r="194" ht="15.75" customHeight="1">
      <c r="A194" s="7">
        <v>193.0</v>
      </c>
      <c r="B194" s="8" t="s">
        <v>2261</v>
      </c>
      <c r="C194" s="9" t="s">
        <v>2262</v>
      </c>
      <c r="D194" s="8" t="s">
        <v>137</v>
      </c>
      <c r="E194" s="8" t="s">
        <v>1685</v>
      </c>
      <c r="F194" s="10">
        <v>0.0</v>
      </c>
      <c r="G194" s="10">
        <f t="shared" si="1"/>
        <v>0</v>
      </c>
      <c r="H194" s="8" t="s">
        <v>2263</v>
      </c>
      <c r="I194" s="8" t="s">
        <v>2264</v>
      </c>
      <c r="J194" s="8" t="s">
        <v>164</v>
      </c>
      <c r="K194" s="8"/>
      <c r="L194" s="8"/>
      <c r="M194" s="8" t="s">
        <v>261</v>
      </c>
      <c r="N194" s="8" t="s">
        <v>170</v>
      </c>
      <c r="O194" s="8" t="s">
        <v>164</v>
      </c>
      <c r="P194" s="11"/>
      <c r="Q194" s="8"/>
      <c r="R194" s="8" t="s">
        <v>172</v>
      </c>
      <c r="S194" s="8" t="s">
        <v>586</v>
      </c>
      <c r="T194" s="8" t="s">
        <v>39</v>
      </c>
      <c r="U194" s="8" t="s">
        <v>586</v>
      </c>
      <c r="V194" s="8" t="s">
        <v>164</v>
      </c>
      <c r="W194" s="8"/>
      <c r="X194" s="8" t="s">
        <v>289</v>
      </c>
      <c r="Y194" s="8" t="s">
        <v>589</v>
      </c>
      <c r="Z194" s="8" t="s">
        <v>2265</v>
      </c>
      <c r="AA194" s="8" t="s">
        <v>141</v>
      </c>
      <c r="AB194" s="8"/>
      <c r="AC194" s="8" t="s">
        <v>2266</v>
      </c>
      <c r="AD194" s="8" t="s">
        <v>252</v>
      </c>
      <c r="AE194" s="8" t="s">
        <v>181</v>
      </c>
      <c r="AF194" s="8" t="s">
        <v>253</v>
      </c>
      <c r="AG194" s="8" t="s">
        <v>182</v>
      </c>
      <c r="AH194" s="8" t="s">
        <v>1475</v>
      </c>
      <c r="AI194" s="8"/>
      <c r="AJ194" s="8" t="s">
        <v>2267</v>
      </c>
      <c r="AK194" s="8" t="s">
        <v>164</v>
      </c>
      <c r="AL194" s="8"/>
    </row>
    <row r="195" ht="15.75" customHeight="1">
      <c r="A195" s="7">
        <v>194.0</v>
      </c>
      <c r="B195" s="8" t="s">
        <v>2268</v>
      </c>
      <c r="C195" s="9" t="s">
        <v>2269</v>
      </c>
      <c r="D195" s="8" t="s">
        <v>137</v>
      </c>
      <c r="E195" s="8" t="s">
        <v>285</v>
      </c>
      <c r="F195" s="10">
        <v>40.0</v>
      </c>
      <c r="G195" s="10">
        <f t="shared" si="1"/>
        <v>480</v>
      </c>
      <c r="H195" s="8"/>
      <c r="I195" s="8" t="s">
        <v>2270</v>
      </c>
      <c r="J195" s="8" t="s">
        <v>164</v>
      </c>
      <c r="K195" s="8"/>
      <c r="L195" s="8"/>
      <c r="M195" s="8" t="s">
        <v>144</v>
      </c>
      <c r="N195" s="8" t="s">
        <v>170</v>
      </c>
      <c r="O195" s="8" t="s">
        <v>164</v>
      </c>
      <c r="P195" s="11"/>
      <c r="Q195" s="8"/>
      <c r="R195" s="8" t="s">
        <v>172</v>
      </c>
      <c r="S195" s="8" t="s">
        <v>173</v>
      </c>
      <c r="T195" s="8" t="s">
        <v>174</v>
      </c>
      <c r="U195" s="8" t="s">
        <v>173</v>
      </c>
      <c r="V195" s="8" t="s">
        <v>164</v>
      </c>
      <c r="W195" s="8"/>
      <c r="X195" s="8" t="s">
        <v>289</v>
      </c>
      <c r="Y195" s="8" t="s">
        <v>154</v>
      </c>
      <c r="Z195" s="8" t="s">
        <v>2271</v>
      </c>
      <c r="AA195" s="8" t="s">
        <v>141</v>
      </c>
      <c r="AB195" s="8" t="s">
        <v>1884</v>
      </c>
      <c r="AC195" s="8" t="s">
        <v>2272</v>
      </c>
      <c r="AD195" s="8" t="s">
        <v>252</v>
      </c>
      <c r="AE195" s="8" t="s">
        <v>181</v>
      </c>
      <c r="AF195" s="8" t="s">
        <v>253</v>
      </c>
      <c r="AG195" s="8" t="s">
        <v>182</v>
      </c>
      <c r="AH195" s="8" t="s">
        <v>754</v>
      </c>
      <c r="AI195" s="8"/>
      <c r="AJ195" s="8" t="s">
        <v>2273</v>
      </c>
      <c r="AK195" s="8" t="s">
        <v>141</v>
      </c>
      <c r="AL195" s="8" t="s">
        <v>2217</v>
      </c>
    </row>
    <row r="196" ht="15.75" customHeight="1">
      <c r="A196" s="7">
        <v>195.0</v>
      </c>
      <c r="B196" s="8" t="s">
        <v>2274</v>
      </c>
      <c r="C196" s="9" t="s">
        <v>2275</v>
      </c>
      <c r="D196" s="8" t="s">
        <v>137</v>
      </c>
      <c r="E196" s="8" t="s">
        <v>138</v>
      </c>
      <c r="F196" s="10">
        <v>40.0</v>
      </c>
      <c r="G196" s="10">
        <f t="shared" si="1"/>
        <v>480</v>
      </c>
      <c r="H196" s="8" t="s">
        <v>2276</v>
      </c>
      <c r="I196" s="8" t="s">
        <v>2184</v>
      </c>
      <c r="J196" s="8" t="s">
        <v>164</v>
      </c>
      <c r="K196" s="8"/>
      <c r="L196" s="8"/>
      <c r="M196" s="8" t="s">
        <v>261</v>
      </c>
      <c r="N196" s="8" t="s">
        <v>170</v>
      </c>
      <c r="O196" s="8" t="s">
        <v>164</v>
      </c>
      <c r="P196" s="11"/>
      <c r="Q196" s="8"/>
      <c r="R196" s="8" t="s">
        <v>172</v>
      </c>
      <c r="S196" s="8" t="s">
        <v>173</v>
      </c>
      <c r="T196" s="8" t="s">
        <v>174</v>
      </c>
      <c r="U196" s="8" t="s">
        <v>173</v>
      </c>
      <c r="V196" s="8" t="s">
        <v>164</v>
      </c>
      <c r="W196" s="8"/>
      <c r="X196" s="8" t="s">
        <v>2277</v>
      </c>
      <c r="Y196" s="8" t="s">
        <v>154</v>
      </c>
      <c r="Z196" s="8" t="s">
        <v>2278</v>
      </c>
      <c r="AA196" s="8" t="s">
        <v>141</v>
      </c>
      <c r="AB196" s="8" t="s">
        <v>653</v>
      </c>
      <c r="AC196" s="8" t="s">
        <v>2279</v>
      </c>
      <c r="AD196" s="8" t="s">
        <v>252</v>
      </c>
      <c r="AE196" s="8" t="s">
        <v>181</v>
      </c>
      <c r="AF196" s="8" t="s">
        <v>253</v>
      </c>
      <c r="AG196" s="8" t="s">
        <v>182</v>
      </c>
      <c r="AH196" s="8" t="s">
        <v>821</v>
      </c>
      <c r="AI196" s="8"/>
      <c r="AJ196" s="8" t="s">
        <v>2280</v>
      </c>
      <c r="AK196" s="8" t="s">
        <v>141</v>
      </c>
      <c r="AL196" s="8" t="s">
        <v>2217</v>
      </c>
    </row>
    <row r="197" ht="15.75" customHeight="1">
      <c r="A197" s="7">
        <v>196.0</v>
      </c>
      <c r="B197" s="8" t="s">
        <v>2281</v>
      </c>
      <c r="C197" s="9" t="s">
        <v>2282</v>
      </c>
      <c r="D197" s="8" t="s">
        <v>137</v>
      </c>
      <c r="E197" s="8" t="s">
        <v>138</v>
      </c>
      <c r="F197" s="10">
        <v>30.0</v>
      </c>
      <c r="G197" s="10">
        <f t="shared" si="1"/>
        <v>360</v>
      </c>
      <c r="H197" s="8" t="s">
        <v>548</v>
      </c>
      <c r="I197" s="8" t="s">
        <v>2283</v>
      </c>
      <c r="J197" s="8" t="s">
        <v>164</v>
      </c>
      <c r="K197" s="8"/>
      <c r="L197" s="8"/>
      <c r="M197" s="8" t="s">
        <v>261</v>
      </c>
      <c r="N197" s="8" t="s">
        <v>170</v>
      </c>
      <c r="O197" s="8" t="s">
        <v>164</v>
      </c>
      <c r="P197" s="11"/>
      <c r="Q197" s="8"/>
      <c r="R197" s="8" t="s">
        <v>172</v>
      </c>
      <c r="S197" s="8" t="s">
        <v>173</v>
      </c>
      <c r="T197" s="8" t="s">
        <v>174</v>
      </c>
      <c r="U197" s="8" t="s">
        <v>173</v>
      </c>
      <c r="V197" s="8" t="s">
        <v>164</v>
      </c>
      <c r="W197" s="8"/>
      <c r="X197" s="8" t="s">
        <v>289</v>
      </c>
      <c r="Y197" s="8" t="s">
        <v>176</v>
      </c>
      <c r="Z197" s="8" t="s">
        <v>2284</v>
      </c>
      <c r="AA197" s="8" t="s">
        <v>195</v>
      </c>
      <c r="AB197" s="8" t="s">
        <v>518</v>
      </c>
      <c r="AC197" s="8" t="s">
        <v>2285</v>
      </c>
      <c r="AD197" s="8" t="s">
        <v>180</v>
      </c>
      <c r="AE197" s="8" t="s">
        <v>181</v>
      </c>
      <c r="AF197" s="8" t="s">
        <v>182</v>
      </c>
      <c r="AG197" s="8" t="s">
        <v>182</v>
      </c>
      <c r="AH197" s="8"/>
      <c r="AI197" s="8" t="s">
        <v>2286</v>
      </c>
      <c r="AJ197" s="8" t="s">
        <v>2287</v>
      </c>
      <c r="AK197" s="8" t="s">
        <v>141</v>
      </c>
      <c r="AL197" s="8" t="s">
        <v>2217</v>
      </c>
    </row>
    <row r="198" ht="15.75" customHeight="1">
      <c r="A198" s="7">
        <v>197.0</v>
      </c>
      <c r="B198" s="8" t="s">
        <v>2288</v>
      </c>
      <c r="C198" s="9" t="s">
        <v>2289</v>
      </c>
      <c r="D198" s="8" t="s">
        <v>137</v>
      </c>
      <c r="E198" s="8" t="s">
        <v>1843</v>
      </c>
      <c r="F198" s="10">
        <v>20.0</v>
      </c>
      <c r="G198" s="10">
        <f t="shared" si="1"/>
        <v>240</v>
      </c>
      <c r="H198" s="8" t="s">
        <v>2290</v>
      </c>
      <c r="I198" s="8" t="s">
        <v>2291</v>
      </c>
      <c r="J198" s="8" t="s">
        <v>164</v>
      </c>
      <c r="K198" s="8"/>
      <c r="L198" s="8"/>
      <c r="M198" s="8" t="s">
        <v>261</v>
      </c>
      <c r="N198" s="8" t="s">
        <v>170</v>
      </c>
      <c r="O198" s="8" t="s">
        <v>164</v>
      </c>
      <c r="P198" s="11"/>
      <c r="Q198" s="8"/>
      <c r="R198" s="8" t="s">
        <v>172</v>
      </c>
      <c r="S198" s="8" t="s">
        <v>474</v>
      </c>
      <c r="T198" s="8" t="s">
        <v>477</v>
      </c>
      <c r="U198" s="8" t="s">
        <v>474</v>
      </c>
      <c r="V198" s="8" t="s">
        <v>164</v>
      </c>
      <c r="W198" s="8"/>
      <c r="X198" s="8" t="s">
        <v>289</v>
      </c>
      <c r="Y198" s="8" t="s">
        <v>589</v>
      </c>
      <c r="Z198" s="8" t="s">
        <v>2292</v>
      </c>
      <c r="AA198" s="8" t="s">
        <v>141</v>
      </c>
      <c r="AB198" s="8"/>
      <c r="AC198" s="8" t="s">
        <v>2293</v>
      </c>
      <c r="AD198" s="8" t="s">
        <v>180</v>
      </c>
      <c r="AE198" s="8" t="s">
        <v>181</v>
      </c>
      <c r="AF198" s="8" t="s">
        <v>182</v>
      </c>
      <c r="AG198" s="8" t="s">
        <v>182</v>
      </c>
      <c r="AH198" s="8"/>
      <c r="AI198" s="8"/>
      <c r="AJ198" s="8" t="s">
        <v>2294</v>
      </c>
      <c r="AK198" s="8" t="s">
        <v>164</v>
      </c>
      <c r="AL198" s="8"/>
    </row>
    <row r="199" ht="15.75" customHeight="1">
      <c r="A199" s="7">
        <v>198.0</v>
      </c>
      <c r="B199" s="8" t="s">
        <v>2295</v>
      </c>
      <c r="C199" s="9" t="s">
        <v>2296</v>
      </c>
      <c r="D199" s="8" t="s">
        <v>137</v>
      </c>
      <c r="E199" s="8" t="s">
        <v>1843</v>
      </c>
      <c r="F199" s="10">
        <v>40.0</v>
      </c>
      <c r="G199" s="10">
        <f t="shared" si="1"/>
        <v>480</v>
      </c>
      <c r="H199" s="8" t="s">
        <v>2297</v>
      </c>
      <c r="I199" s="8" t="s">
        <v>2298</v>
      </c>
      <c r="J199" s="8" t="s">
        <v>164</v>
      </c>
      <c r="K199" s="8"/>
      <c r="L199" s="8"/>
      <c r="M199" s="8" t="s">
        <v>261</v>
      </c>
      <c r="N199" s="8" t="s">
        <v>170</v>
      </c>
      <c r="O199" s="8" t="s">
        <v>164</v>
      </c>
      <c r="P199" s="11"/>
      <c r="Q199" s="8"/>
      <c r="R199" s="8" t="s">
        <v>172</v>
      </c>
      <c r="S199" s="8" t="s">
        <v>474</v>
      </c>
      <c r="T199" s="8" t="s">
        <v>477</v>
      </c>
      <c r="U199" s="8" t="s">
        <v>474</v>
      </c>
      <c r="V199" s="8" t="s">
        <v>164</v>
      </c>
      <c r="W199" s="8"/>
      <c r="X199" s="8" t="s">
        <v>289</v>
      </c>
      <c r="Y199" s="8" t="s">
        <v>589</v>
      </c>
      <c r="Z199" s="8" t="s">
        <v>2299</v>
      </c>
      <c r="AA199" s="8" t="s">
        <v>141</v>
      </c>
      <c r="AB199" s="8"/>
      <c r="AC199" s="8" t="s">
        <v>2300</v>
      </c>
      <c r="AD199" s="8" t="s">
        <v>180</v>
      </c>
      <c r="AE199" s="8" t="s">
        <v>181</v>
      </c>
      <c r="AF199" s="8" t="s">
        <v>182</v>
      </c>
      <c r="AG199" s="8" t="s">
        <v>182</v>
      </c>
      <c r="AH199" s="8"/>
      <c r="AI199" s="8" t="s">
        <v>2301</v>
      </c>
      <c r="AJ199" s="8" t="s">
        <v>2302</v>
      </c>
      <c r="AK199" s="8" t="s">
        <v>164</v>
      </c>
      <c r="AL199" s="8"/>
    </row>
    <row r="200" ht="15.75" customHeight="1">
      <c r="A200" s="7">
        <v>199.0</v>
      </c>
      <c r="B200" s="8" t="s">
        <v>2303</v>
      </c>
      <c r="C200" s="9" t="s">
        <v>2304</v>
      </c>
      <c r="D200" s="8" t="s">
        <v>137</v>
      </c>
      <c r="E200" s="8" t="s">
        <v>1843</v>
      </c>
      <c r="F200" s="10">
        <v>60.0</v>
      </c>
      <c r="G200" s="10">
        <f t="shared" si="1"/>
        <v>720</v>
      </c>
      <c r="H200" s="8" t="s">
        <v>2305</v>
      </c>
      <c r="I200" s="8" t="s">
        <v>2306</v>
      </c>
      <c r="J200" s="8" t="s">
        <v>164</v>
      </c>
      <c r="K200" s="8"/>
      <c r="L200" s="8"/>
      <c r="M200" s="8" t="s">
        <v>261</v>
      </c>
      <c r="N200" s="8" t="s">
        <v>170</v>
      </c>
      <c r="O200" s="8" t="s">
        <v>164</v>
      </c>
      <c r="P200" s="11"/>
      <c r="Q200" s="8"/>
      <c r="R200" s="8" t="s">
        <v>172</v>
      </c>
      <c r="S200" s="8" t="s">
        <v>474</v>
      </c>
      <c r="T200" s="8" t="s">
        <v>477</v>
      </c>
      <c r="U200" s="8" t="s">
        <v>474</v>
      </c>
      <c r="V200" s="8" t="s">
        <v>164</v>
      </c>
      <c r="W200" s="8"/>
      <c r="X200" s="8" t="s">
        <v>2307</v>
      </c>
      <c r="Y200" s="8" t="s">
        <v>154</v>
      </c>
      <c r="Z200" s="8" t="s">
        <v>2308</v>
      </c>
      <c r="AA200" s="8" t="s">
        <v>141</v>
      </c>
      <c r="AB200" s="8"/>
      <c r="AC200" s="8" t="s">
        <v>2309</v>
      </c>
      <c r="AD200" s="8" t="s">
        <v>180</v>
      </c>
      <c r="AE200" s="8" t="s">
        <v>181</v>
      </c>
      <c r="AF200" s="8" t="s">
        <v>182</v>
      </c>
      <c r="AG200" s="8" t="s">
        <v>182</v>
      </c>
      <c r="AH200" s="8"/>
      <c r="AI200" s="8"/>
      <c r="AJ200" s="8" t="s">
        <v>2310</v>
      </c>
      <c r="AK200" s="8" t="s">
        <v>164</v>
      </c>
      <c r="AL200" s="8"/>
    </row>
    <row r="201" ht="15.75" customHeight="1">
      <c r="A201" s="7">
        <v>200.0</v>
      </c>
      <c r="B201" s="8" t="s">
        <v>2311</v>
      </c>
      <c r="C201" s="9" t="s">
        <v>2312</v>
      </c>
      <c r="D201" s="8" t="s">
        <v>137</v>
      </c>
      <c r="E201" s="8" t="s">
        <v>1843</v>
      </c>
      <c r="F201" s="10">
        <v>30.0</v>
      </c>
      <c r="G201" s="10">
        <f t="shared" si="1"/>
        <v>360</v>
      </c>
      <c r="H201" s="8" t="s">
        <v>2313</v>
      </c>
      <c r="I201" s="8" t="s">
        <v>2314</v>
      </c>
      <c r="J201" s="8" t="s">
        <v>164</v>
      </c>
      <c r="K201" s="8"/>
      <c r="L201" s="8"/>
      <c r="M201" s="8" t="s">
        <v>261</v>
      </c>
      <c r="N201" s="8" t="s">
        <v>170</v>
      </c>
      <c r="O201" s="8" t="s">
        <v>164</v>
      </c>
      <c r="P201" s="11"/>
      <c r="Q201" s="8"/>
      <c r="R201" s="8" t="s">
        <v>172</v>
      </c>
      <c r="S201" s="8" t="s">
        <v>173</v>
      </c>
      <c r="T201" s="8" t="s">
        <v>174</v>
      </c>
      <c r="U201" s="8" t="s">
        <v>173</v>
      </c>
      <c r="V201" s="8" t="s">
        <v>164</v>
      </c>
      <c r="W201" s="8"/>
      <c r="X201" s="8" t="s">
        <v>289</v>
      </c>
      <c r="Y201" s="8" t="s">
        <v>154</v>
      </c>
      <c r="Z201" s="8" t="s">
        <v>2315</v>
      </c>
      <c r="AA201" s="8" t="s">
        <v>141</v>
      </c>
      <c r="AB201" s="8" t="s">
        <v>1884</v>
      </c>
      <c r="AC201" s="8" t="s">
        <v>2316</v>
      </c>
      <c r="AD201" s="8" t="s">
        <v>252</v>
      </c>
      <c r="AE201" s="8" t="s">
        <v>181</v>
      </c>
      <c r="AF201" s="8" t="s">
        <v>253</v>
      </c>
      <c r="AG201" s="8" t="s">
        <v>182</v>
      </c>
      <c r="AH201" s="8" t="s">
        <v>1484</v>
      </c>
      <c r="AI201" s="8"/>
      <c r="AJ201" s="8" t="s">
        <v>2317</v>
      </c>
      <c r="AK201" s="8" t="s">
        <v>141</v>
      </c>
      <c r="AL201" s="8" t="s">
        <v>2217</v>
      </c>
    </row>
    <row r="202" ht="15.75" customHeight="1">
      <c r="A202" s="7">
        <v>201.0</v>
      </c>
      <c r="B202" s="8" t="s">
        <v>2318</v>
      </c>
      <c r="C202" s="9" t="s">
        <v>2319</v>
      </c>
      <c r="D202" s="8" t="s">
        <v>137</v>
      </c>
      <c r="E202" s="8" t="s">
        <v>1843</v>
      </c>
      <c r="F202" s="10">
        <v>25.0</v>
      </c>
      <c r="G202" s="10">
        <f t="shared" si="1"/>
        <v>300</v>
      </c>
      <c r="H202" s="8"/>
      <c r="I202" s="8" t="s">
        <v>2320</v>
      </c>
      <c r="J202" s="8" t="s">
        <v>164</v>
      </c>
      <c r="K202" s="8"/>
      <c r="L202" s="8"/>
      <c r="M202" s="8" t="s">
        <v>261</v>
      </c>
      <c r="N202" s="8" t="s">
        <v>170</v>
      </c>
      <c r="O202" s="8" t="s">
        <v>164</v>
      </c>
      <c r="P202" s="11"/>
      <c r="Q202" s="8"/>
      <c r="R202" s="8" t="s">
        <v>172</v>
      </c>
      <c r="S202" s="8" t="s">
        <v>173</v>
      </c>
      <c r="T202" s="8" t="s">
        <v>174</v>
      </c>
      <c r="U202" s="8" t="s">
        <v>173</v>
      </c>
      <c r="V202" s="8" t="s">
        <v>164</v>
      </c>
      <c r="W202" s="8"/>
      <c r="X202" s="8" t="s">
        <v>289</v>
      </c>
      <c r="Y202" s="8" t="s">
        <v>154</v>
      </c>
      <c r="Z202" s="8" t="s">
        <v>2321</v>
      </c>
      <c r="AA202" s="8" t="s">
        <v>141</v>
      </c>
      <c r="AB202" s="8" t="s">
        <v>1884</v>
      </c>
      <c r="AC202" s="8" t="s">
        <v>2322</v>
      </c>
      <c r="AD202" s="8" t="s">
        <v>252</v>
      </c>
      <c r="AE202" s="8" t="s">
        <v>181</v>
      </c>
      <c r="AF202" s="8" t="s">
        <v>253</v>
      </c>
      <c r="AG202" s="8" t="s">
        <v>182</v>
      </c>
      <c r="AH202" s="8" t="s">
        <v>1484</v>
      </c>
      <c r="AI202" s="8"/>
      <c r="AJ202" s="8" t="s">
        <v>2323</v>
      </c>
      <c r="AK202" s="8" t="s">
        <v>141</v>
      </c>
      <c r="AL202" s="8" t="s">
        <v>2217</v>
      </c>
    </row>
    <row r="203" ht="15.75" customHeight="1">
      <c r="A203" s="7">
        <v>202.0</v>
      </c>
      <c r="B203" s="8" t="s">
        <v>2324</v>
      </c>
      <c r="C203" s="9" t="s">
        <v>2325</v>
      </c>
      <c r="D203" s="8" t="s">
        <v>137</v>
      </c>
      <c r="E203" s="8" t="s">
        <v>1843</v>
      </c>
      <c r="F203" s="10">
        <v>25.0</v>
      </c>
      <c r="G203" s="10">
        <f t="shared" si="1"/>
        <v>300</v>
      </c>
      <c r="H203" s="8"/>
      <c r="I203" s="8" t="s">
        <v>2326</v>
      </c>
      <c r="J203" s="8" t="s">
        <v>164</v>
      </c>
      <c r="K203" s="8"/>
      <c r="L203" s="8"/>
      <c r="M203" s="8" t="s">
        <v>261</v>
      </c>
      <c r="N203" s="8" t="s">
        <v>170</v>
      </c>
      <c r="O203" s="8" t="s">
        <v>164</v>
      </c>
      <c r="P203" s="11"/>
      <c r="Q203" s="8"/>
      <c r="R203" s="8" t="s">
        <v>172</v>
      </c>
      <c r="S203" s="8" t="s">
        <v>173</v>
      </c>
      <c r="T203" s="8" t="s">
        <v>174</v>
      </c>
      <c r="U203" s="8" t="s">
        <v>173</v>
      </c>
      <c r="V203" s="8" t="s">
        <v>164</v>
      </c>
      <c r="W203" s="8"/>
      <c r="X203" s="8" t="s">
        <v>289</v>
      </c>
      <c r="Y203" s="8" t="s">
        <v>176</v>
      </c>
      <c r="Z203" s="8" t="s">
        <v>2327</v>
      </c>
      <c r="AA203" s="8" t="s">
        <v>195</v>
      </c>
      <c r="AB203" s="8" t="s">
        <v>1884</v>
      </c>
      <c r="AC203" s="8" t="s">
        <v>2328</v>
      </c>
      <c r="AD203" s="8" t="s">
        <v>252</v>
      </c>
      <c r="AE203" s="8" t="s">
        <v>181</v>
      </c>
      <c r="AF203" s="8" t="s">
        <v>253</v>
      </c>
      <c r="AG203" s="8" t="s">
        <v>182</v>
      </c>
      <c r="AH203" s="8" t="s">
        <v>1487</v>
      </c>
      <c r="AI203" s="8"/>
      <c r="AJ203" s="8" t="s">
        <v>2329</v>
      </c>
      <c r="AK203" s="8" t="s">
        <v>141</v>
      </c>
      <c r="AL203" s="8" t="s">
        <v>2217</v>
      </c>
    </row>
    <row r="204" ht="15.75" customHeight="1">
      <c r="A204" s="7">
        <v>203.0</v>
      </c>
      <c r="B204" s="8" t="s">
        <v>2330</v>
      </c>
      <c r="C204" s="9" t="s">
        <v>2331</v>
      </c>
      <c r="D204" s="8" t="s">
        <v>137</v>
      </c>
      <c r="E204" s="8" t="s">
        <v>1843</v>
      </c>
      <c r="F204" s="10">
        <v>50.0</v>
      </c>
      <c r="G204" s="10">
        <f t="shared" si="1"/>
        <v>600</v>
      </c>
      <c r="H204" s="8"/>
      <c r="I204" s="8" t="s">
        <v>2270</v>
      </c>
      <c r="J204" s="8" t="s">
        <v>164</v>
      </c>
      <c r="K204" s="8"/>
      <c r="L204" s="8"/>
      <c r="M204" s="8" t="s">
        <v>261</v>
      </c>
      <c r="N204" s="8" t="s">
        <v>170</v>
      </c>
      <c r="O204" s="8" t="s">
        <v>164</v>
      </c>
      <c r="P204" s="11"/>
      <c r="Q204" s="8"/>
      <c r="R204" s="8" t="s">
        <v>172</v>
      </c>
      <c r="S204" s="8" t="s">
        <v>173</v>
      </c>
      <c r="T204" s="8" t="s">
        <v>174</v>
      </c>
      <c r="U204" s="8" t="s">
        <v>173</v>
      </c>
      <c r="V204" s="8" t="s">
        <v>164</v>
      </c>
      <c r="W204" s="8"/>
      <c r="X204" s="8" t="s">
        <v>289</v>
      </c>
      <c r="Y204" s="8" t="s">
        <v>154</v>
      </c>
      <c r="Z204" s="8" t="s">
        <v>2332</v>
      </c>
      <c r="AA204" s="8" t="s">
        <v>141</v>
      </c>
      <c r="AB204" s="8" t="s">
        <v>1884</v>
      </c>
      <c r="AC204" s="8" t="s">
        <v>2333</v>
      </c>
      <c r="AD204" s="8" t="s">
        <v>252</v>
      </c>
      <c r="AE204" s="8" t="s">
        <v>181</v>
      </c>
      <c r="AF204" s="8" t="s">
        <v>253</v>
      </c>
      <c r="AG204" s="8" t="s">
        <v>182</v>
      </c>
      <c r="AH204" s="8" t="s">
        <v>1487</v>
      </c>
      <c r="AI204" s="8"/>
      <c r="AJ204" s="8" t="s">
        <v>2334</v>
      </c>
      <c r="AK204" s="8" t="s">
        <v>141</v>
      </c>
      <c r="AL204" s="8" t="s">
        <v>2217</v>
      </c>
    </row>
    <row r="205" ht="15.75" customHeight="1">
      <c r="A205" s="7">
        <v>204.0</v>
      </c>
      <c r="B205" s="8" t="s">
        <v>2335</v>
      </c>
      <c r="C205" s="9" t="s">
        <v>2336</v>
      </c>
      <c r="D205" s="8" t="s">
        <v>137</v>
      </c>
      <c r="E205" s="8" t="s">
        <v>1843</v>
      </c>
      <c r="F205" s="10">
        <v>45.0</v>
      </c>
      <c r="G205" s="10">
        <f t="shared" si="1"/>
        <v>540</v>
      </c>
      <c r="H205" s="8"/>
      <c r="I205" s="8" t="s">
        <v>2337</v>
      </c>
      <c r="J205" s="8" t="s">
        <v>164</v>
      </c>
      <c r="K205" s="8"/>
      <c r="L205" s="8"/>
      <c r="M205" s="8" t="s">
        <v>261</v>
      </c>
      <c r="N205" s="8" t="s">
        <v>170</v>
      </c>
      <c r="O205" s="8" t="s">
        <v>164</v>
      </c>
      <c r="P205" s="11"/>
      <c r="Q205" s="8"/>
      <c r="R205" s="8" t="s">
        <v>172</v>
      </c>
      <c r="S205" s="8" t="s">
        <v>173</v>
      </c>
      <c r="T205" s="8" t="s">
        <v>174</v>
      </c>
      <c r="U205" s="8" t="s">
        <v>173</v>
      </c>
      <c r="V205" s="8" t="s">
        <v>164</v>
      </c>
      <c r="W205" s="8"/>
      <c r="X205" s="8" t="s">
        <v>289</v>
      </c>
      <c r="Y205" s="8" t="s">
        <v>193</v>
      </c>
      <c r="Z205" s="8" t="s">
        <v>2338</v>
      </c>
      <c r="AA205" s="8" t="s">
        <v>195</v>
      </c>
      <c r="AB205" s="8" t="s">
        <v>1884</v>
      </c>
      <c r="AC205" s="8" t="s">
        <v>2339</v>
      </c>
      <c r="AD205" s="8" t="s">
        <v>252</v>
      </c>
      <c r="AE205" s="8" t="s">
        <v>181</v>
      </c>
      <c r="AF205" s="8" t="s">
        <v>253</v>
      </c>
      <c r="AG205" s="8" t="s">
        <v>182</v>
      </c>
      <c r="AH205" s="8" t="s">
        <v>1487</v>
      </c>
      <c r="AI205" s="8"/>
      <c r="AJ205" s="8" t="s">
        <v>2340</v>
      </c>
      <c r="AK205" s="8" t="s">
        <v>141</v>
      </c>
      <c r="AL205" s="8" t="s">
        <v>2217</v>
      </c>
    </row>
    <row r="206" ht="15.75" customHeight="1">
      <c r="A206" s="7">
        <v>205.0</v>
      </c>
      <c r="B206" s="8" t="s">
        <v>2341</v>
      </c>
      <c r="C206" s="9" t="s">
        <v>2342</v>
      </c>
      <c r="D206" s="8" t="s">
        <v>137</v>
      </c>
      <c r="E206" s="8" t="s">
        <v>1843</v>
      </c>
      <c r="F206" s="10">
        <v>200.0</v>
      </c>
      <c r="G206" s="10">
        <f t="shared" si="1"/>
        <v>2400</v>
      </c>
      <c r="H206" s="8"/>
      <c r="I206" s="8" t="s">
        <v>2291</v>
      </c>
      <c r="J206" s="8" t="s">
        <v>164</v>
      </c>
      <c r="K206" s="8"/>
      <c r="L206" s="8"/>
      <c r="M206" s="8" t="s">
        <v>261</v>
      </c>
      <c r="N206" s="8" t="s">
        <v>170</v>
      </c>
      <c r="O206" s="8" t="s">
        <v>164</v>
      </c>
      <c r="P206" s="11"/>
      <c r="Q206" s="8"/>
      <c r="R206" s="8" t="s">
        <v>172</v>
      </c>
      <c r="S206" s="8" t="s">
        <v>173</v>
      </c>
      <c r="T206" s="8" t="s">
        <v>174</v>
      </c>
      <c r="U206" s="8" t="s">
        <v>173</v>
      </c>
      <c r="V206" s="8" t="s">
        <v>164</v>
      </c>
      <c r="W206" s="8"/>
      <c r="X206" s="8" t="s">
        <v>289</v>
      </c>
      <c r="Y206" s="8" t="s">
        <v>193</v>
      </c>
      <c r="Z206" s="8" t="s">
        <v>2343</v>
      </c>
      <c r="AA206" s="8" t="s">
        <v>195</v>
      </c>
      <c r="AB206" s="8" t="s">
        <v>1884</v>
      </c>
      <c r="AC206" s="8" t="s">
        <v>2344</v>
      </c>
      <c r="AD206" s="8" t="s">
        <v>252</v>
      </c>
      <c r="AE206" s="8" t="s">
        <v>181</v>
      </c>
      <c r="AF206" s="8" t="s">
        <v>253</v>
      </c>
      <c r="AG206" s="8" t="s">
        <v>182</v>
      </c>
      <c r="AH206" s="8" t="s">
        <v>1480</v>
      </c>
      <c r="AI206" s="8"/>
      <c r="AJ206" s="8" t="s">
        <v>2345</v>
      </c>
      <c r="AK206" s="8" t="s">
        <v>141</v>
      </c>
      <c r="AL206" s="8" t="s">
        <v>2217</v>
      </c>
    </row>
    <row r="207" ht="15.75" customHeight="1">
      <c r="A207" s="7">
        <v>206.0</v>
      </c>
      <c r="B207" s="8" t="s">
        <v>2346</v>
      </c>
      <c r="C207" s="9" t="s">
        <v>2347</v>
      </c>
      <c r="D207" s="8" t="s">
        <v>137</v>
      </c>
      <c r="E207" s="8" t="s">
        <v>1559</v>
      </c>
      <c r="F207" s="10">
        <v>20.0</v>
      </c>
      <c r="G207" s="10">
        <f t="shared" si="1"/>
        <v>240</v>
      </c>
      <c r="H207" s="8" t="s">
        <v>1834</v>
      </c>
      <c r="I207" s="8" t="s">
        <v>2348</v>
      </c>
      <c r="J207" s="8" t="s">
        <v>164</v>
      </c>
      <c r="K207" s="8"/>
      <c r="L207" s="8"/>
      <c r="M207" s="8" t="s">
        <v>261</v>
      </c>
      <c r="N207" s="8" t="s">
        <v>170</v>
      </c>
      <c r="O207" s="8" t="s">
        <v>164</v>
      </c>
      <c r="P207" s="11"/>
      <c r="Q207" s="8"/>
      <c r="R207" s="8" t="s">
        <v>172</v>
      </c>
      <c r="S207" s="8" t="s">
        <v>474</v>
      </c>
      <c r="T207" s="8" t="s">
        <v>477</v>
      </c>
      <c r="U207" s="8" t="s">
        <v>474</v>
      </c>
      <c r="V207" s="8" t="s">
        <v>164</v>
      </c>
      <c r="W207" s="8"/>
      <c r="X207" s="8" t="s">
        <v>289</v>
      </c>
      <c r="Y207" s="8" t="s">
        <v>249</v>
      </c>
      <c r="Z207" s="8" t="s">
        <v>2349</v>
      </c>
      <c r="AA207" s="8" t="s">
        <v>195</v>
      </c>
      <c r="AB207" s="8"/>
      <c r="AC207" s="8" t="s">
        <v>2350</v>
      </c>
      <c r="AD207" s="8" t="s">
        <v>252</v>
      </c>
      <c r="AE207" s="8" t="s">
        <v>181</v>
      </c>
      <c r="AF207" s="8" t="s">
        <v>253</v>
      </c>
      <c r="AG207" s="8" t="s">
        <v>182</v>
      </c>
      <c r="AH207" s="8" t="s">
        <v>1856</v>
      </c>
      <c r="AI207" s="8"/>
      <c r="AJ207" s="8" t="s">
        <v>2351</v>
      </c>
      <c r="AK207" s="8" t="s">
        <v>164</v>
      </c>
      <c r="AL207" s="8"/>
    </row>
    <row r="208" ht="15.75" customHeight="1">
      <c r="A208" s="7">
        <v>207.0</v>
      </c>
      <c r="B208" s="8" t="s">
        <v>2352</v>
      </c>
      <c r="C208" s="9" t="s">
        <v>2353</v>
      </c>
      <c r="D208" s="8" t="s">
        <v>137</v>
      </c>
      <c r="E208" s="8" t="s">
        <v>1559</v>
      </c>
      <c r="F208" s="10">
        <v>1.0</v>
      </c>
      <c r="G208" s="10">
        <f t="shared" si="1"/>
        <v>12</v>
      </c>
      <c r="H208" s="8"/>
      <c r="I208" s="8" t="s">
        <v>2354</v>
      </c>
      <c r="J208" s="8" t="s">
        <v>164</v>
      </c>
      <c r="K208" s="8"/>
      <c r="L208" s="8"/>
      <c r="M208" s="8" t="s">
        <v>144</v>
      </c>
      <c r="N208" s="8" t="s">
        <v>170</v>
      </c>
      <c r="O208" s="8" t="s">
        <v>164</v>
      </c>
      <c r="P208" s="11"/>
      <c r="Q208" s="8"/>
      <c r="R208" s="8" t="s">
        <v>172</v>
      </c>
      <c r="S208" s="8" t="s">
        <v>474</v>
      </c>
      <c r="T208" s="8" t="s">
        <v>477</v>
      </c>
      <c r="U208" s="8" t="s">
        <v>474</v>
      </c>
      <c r="V208" s="8" t="s">
        <v>164</v>
      </c>
      <c r="W208" s="8"/>
      <c r="X208" s="8" t="s">
        <v>289</v>
      </c>
      <c r="Y208" s="8" t="s">
        <v>193</v>
      </c>
      <c r="Z208" s="8" t="s">
        <v>2355</v>
      </c>
      <c r="AA208" s="8" t="s">
        <v>141</v>
      </c>
      <c r="AB208" s="8"/>
      <c r="AC208" s="8" t="s">
        <v>2356</v>
      </c>
      <c r="AD208" s="8" t="s">
        <v>252</v>
      </c>
      <c r="AE208" s="8" t="s">
        <v>181</v>
      </c>
      <c r="AF208" s="8" t="s">
        <v>253</v>
      </c>
      <c r="AG208" s="8" t="s">
        <v>182</v>
      </c>
      <c r="AH208" s="8" t="s">
        <v>1490</v>
      </c>
      <c r="AI208" s="8"/>
      <c r="AJ208" s="8" t="s">
        <v>2357</v>
      </c>
      <c r="AK208" s="8" t="s">
        <v>164</v>
      </c>
      <c r="AL208" s="8"/>
    </row>
    <row r="209" ht="15.75" customHeight="1">
      <c r="A209" s="7">
        <v>208.0</v>
      </c>
      <c r="B209" s="8" t="s">
        <v>2358</v>
      </c>
      <c r="C209" s="9" t="s">
        <v>2359</v>
      </c>
      <c r="D209" s="8" t="s">
        <v>137</v>
      </c>
      <c r="E209" s="8" t="s">
        <v>1559</v>
      </c>
      <c r="F209" s="10">
        <v>60.0</v>
      </c>
      <c r="G209" s="10">
        <f t="shared" si="1"/>
        <v>720</v>
      </c>
      <c r="H209" s="8" t="s">
        <v>1834</v>
      </c>
      <c r="I209" s="8" t="s">
        <v>1877</v>
      </c>
      <c r="J209" s="8" t="s">
        <v>141</v>
      </c>
      <c r="K209" s="8" t="s">
        <v>259</v>
      </c>
      <c r="L209" s="8"/>
      <c r="M209" s="8" t="s">
        <v>144</v>
      </c>
      <c r="N209" s="8" t="s">
        <v>145</v>
      </c>
      <c r="O209" s="8" t="s">
        <v>141</v>
      </c>
      <c r="P209" s="11"/>
      <c r="Q209" s="8"/>
      <c r="R209" s="8" t="s">
        <v>172</v>
      </c>
      <c r="S209" s="8" t="s">
        <v>474</v>
      </c>
      <c r="T209" s="8" t="s">
        <v>477</v>
      </c>
      <c r="U209" s="8" t="s">
        <v>474</v>
      </c>
      <c r="V209" s="8" t="s">
        <v>164</v>
      </c>
      <c r="W209" s="8"/>
      <c r="X209" s="8" t="s">
        <v>289</v>
      </c>
      <c r="Y209" s="8" t="s">
        <v>193</v>
      </c>
      <c r="Z209" s="8" t="s">
        <v>2360</v>
      </c>
      <c r="AA209" s="8" t="s">
        <v>141</v>
      </c>
      <c r="AB209" s="8"/>
      <c r="AC209" s="8" t="s">
        <v>2361</v>
      </c>
      <c r="AD209" s="8" t="s">
        <v>1312</v>
      </c>
      <c r="AE209" s="8" t="s">
        <v>1313</v>
      </c>
      <c r="AF209" s="8" t="s">
        <v>1314</v>
      </c>
      <c r="AG209" s="8" t="s">
        <v>2362</v>
      </c>
      <c r="AH209" s="8" t="s">
        <v>1436</v>
      </c>
      <c r="AI209" s="8"/>
      <c r="AJ209" s="8" t="s">
        <v>2363</v>
      </c>
      <c r="AK209" s="8" t="s">
        <v>164</v>
      </c>
      <c r="AL209" s="8"/>
    </row>
    <row r="210" ht="15.75" customHeight="1">
      <c r="A210" s="7">
        <v>209.0</v>
      </c>
      <c r="B210" s="8" t="s">
        <v>2364</v>
      </c>
      <c r="C210" s="9" t="s">
        <v>2365</v>
      </c>
      <c r="D210" s="8" t="s">
        <v>137</v>
      </c>
      <c r="E210" s="8" t="s">
        <v>1559</v>
      </c>
      <c r="F210" s="10">
        <v>0.0</v>
      </c>
      <c r="G210" s="10">
        <f t="shared" si="1"/>
        <v>0</v>
      </c>
      <c r="H210" s="8"/>
      <c r="I210" s="8"/>
      <c r="J210" s="8" t="s">
        <v>164</v>
      </c>
      <c r="K210" s="8"/>
      <c r="L210" s="8"/>
      <c r="M210" s="8" t="s">
        <v>261</v>
      </c>
      <c r="N210" s="8" t="s">
        <v>170</v>
      </c>
      <c r="O210" s="8" t="s">
        <v>164</v>
      </c>
      <c r="P210" s="11"/>
      <c r="Q210" s="8"/>
      <c r="R210" s="8" t="s">
        <v>172</v>
      </c>
      <c r="S210" s="8" t="s">
        <v>173</v>
      </c>
      <c r="T210" s="8" t="s">
        <v>174</v>
      </c>
      <c r="U210" s="8" t="s">
        <v>173</v>
      </c>
      <c r="V210" s="8" t="s">
        <v>164</v>
      </c>
      <c r="W210" s="8"/>
      <c r="X210" s="8" t="s">
        <v>289</v>
      </c>
      <c r="Y210" s="8" t="s">
        <v>193</v>
      </c>
      <c r="Z210" s="8" t="s">
        <v>2366</v>
      </c>
      <c r="AA210" s="8" t="s">
        <v>141</v>
      </c>
      <c r="AB210" s="8" t="s">
        <v>1886</v>
      </c>
      <c r="AC210" s="8" t="s">
        <v>2367</v>
      </c>
      <c r="AD210" s="8" t="s">
        <v>180</v>
      </c>
      <c r="AE210" s="8" t="s">
        <v>181</v>
      </c>
      <c r="AF210" s="8" t="s">
        <v>182</v>
      </c>
      <c r="AG210" s="8" t="s">
        <v>182</v>
      </c>
      <c r="AH210" s="8"/>
      <c r="AI210" s="8"/>
      <c r="AJ210" s="8" t="s">
        <v>2368</v>
      </c>
      <c r="AK210" s="8" t="s">
        <v>141</v>
      </c>
      <c r="AL210" s="8" t="s">
        <v>2217</v>
      </c>
    </row>
    <row r="211" ht="15.75" customHeight="1">
      <c r="A211" s="7">
        <v>210.0</v>
      </c>
      <c r="B211" s="8" t="s">
        <v>2369</v>
      </c>
      <c r="C211" s="9" t="s">
        <v>2370</v>
      </c>
      <c r="D211" s="8" t="s">
        <v>137</v>
      </c>
      <c r="E211" s="8" t="s">
        <v>1685</v>
      </c>
      <c r="F211" s="10">
        <v>0.0</v>
      </c>
      <c r="G211" s="10">
        <f t="shared" si="1"/>
        <v>0</v>
      </c>
      <c r="H211" s="8"/>
      <c r="I211" s="8"/>
      <c r="J211" s="8" t="s">
        <v>164</v>
      </c>
      <c r="K211" s="8"/>
      <c r="L211" s="8"/>
      <c r="M211" s="8" t="s">
        <v>261</v>
      </c>
      <c r="N211" s="8" t="s">
        <v>170</v>
      </c>
      <c r="O211" s="8" t="s">
        <v>164</v>
      </c>
      <c r="P211" s="11"/>
      <c r="Q211" s="8"/>
      <c r="R211" s="8" t="s">
        <v>172</v>
      </c>
      <c r="S211" s="8" t="s">
        <v>173</v>
      </c>
      <c r="T211" s="8" t="s">
        <v>174</v>
      </c>
      <c r="U211" s="8" t="s">
        <v>173</v>
      </c>
      <c r="V211" s="8" t="s">
        <v>164</v>
      </c>
      <c r="W211" s="8"/>
      <c r="X211" s="8" t="s">
        <v>289</v>
      </c>
      <c r="Y211" s="8" t="s">
        <v>193</v>
      </c>
      <c r="Z211" s="8" t="s">
        <v>2371</v>
      </c>
      <c r="AA211" s="8" t="s">
        <v>141</v>
      </c>
      <c r="AB211" s="8" t="s">
        <v>1886</v>
      </c>
      <c r="AC211" s="8" t="s">
        <v>2372</v>
      </c>
      <c r="AD211" s="8" t="s">
        <v>180</v>
      </c>
      <c r="AE211" s="8" t="s">
        <v>181</v>
      </c>
      <c r="AF211" s="8" t="s">
        <v>182</v>
      </c>
      <c r="AG211" s="8" t="s">
        <v>182</v>
      </c>
      <c r="AH211" s="8"/>
      <c r="AI211" s="8"/>
      <c r="AJ211" s="8" t="s">
        <v>2373</v>
      </c>
      <c r="AK211" s="8" t="s">
        <v>141</v>
      </c>
      <c r="AL211" s="8" t="s">
        <v>2217</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L$211"/>
  <conditionalFormatting sqref="C2:C211">
    <cfRule type="expression" dxfId="0" priority="1">
      <formula>$S2="1"</formula>
    </cfRule>
  </conditionalFormatting>
  <conditionalFormatting sqref="C2:C211">
    <cfRule type="expression" dxfId="1" priority="2">
      <formula>$S2="2"</formula>
    </cfRule>
  </conditionalFormatting>
  <conditionalFormatting sqref="C2:C211">
    <cfRule type="expression" dxfId="2" priority="3">
      <formula>$S2="3"</formula>
    </cfRule>
  </conditionalFormatting>
  <conditionalFormatting sqref="C2:C211">
    <cfRule type="expression" dxfId="3" priority="4">
      <formula>$S2="P"</formula>
    </cfRule>
  </conditionalFormatting>
  <conditionalFormatting sqref="S2:S211">
    <cfRule type="expression" dxfId="0" priority="5">
      <formula>$S2="1"</formula>
    </cfRule>
  </conditionalFormatting>
  <conditionalFormatting sqref="S2:S211">
    <cfRule type="expression" dxfId="1" priority="6">
      <formula>$S2="2"</formula>
    </cfRule>
  </conditionalFormatting>
  <conditionalFormatting sqref="S2:S211">
    <cfRule type="expression" dxfId="2" priority="7">
      <formula>$S2="3"</formula>
    </cfRule>
  </conditionalFormatting>
  <conditionalFormatting sqref="S2:S211">
    <cfRule type="expression" dxfId="3" priority="8">
      <formula>$S2="P"</formula>
    </cfRule>
  </conditionalFormatting>
  <conditionalFormatting sqref="T2:T211">
    <cfRule type="expression" dxfId="0" priority="9">
      <formula>$S2="1"</formula>
    </cfRule>
  </conditionalFormatting>
  <conditionalFormatting sqref="T2:T211">
    <cfRule type="expression" dxfId="1" priority="10">
      <formula>$S2="2"</formula>
    </cfRule>
  </conditionalFormatting>
  <conditionalFormatting sqref="T2:T211">
    <cfRule type="expression" dxfId="2" priority="11">
      <formula>$S2="3"</formula>
    </cfRule>
  </conditionalFormatting>
  <conditionalFormatting sqref="T2:T211">
    <cfRule type="expression" dxfId="3" priority="12">
      <formula>$S2="P"</formula>
    </cfRule>
  </conditionalFormatting>
  <conditionalFormatting sqref="U2:U211">
    <cfRule type="expression" dxfId="0" priority="13">
      <formula>$U2="1"</formula>
    </cfRule>
  </conditionalFormatting>
  <conditionalFormatting sqref="U2:U211">
    <cfRule type="expression" dxfId="2" priority="14">
      <formula>LEFT($U2,1)="3"</formula>
    </cfRule>
  </conditionalFormatting>
  <conditionalFormatting sqref="U2:U211">
    <cfRule type="expression" dxfId="1" priority="15">
      <formula>$U2="2"</formula>
    </cfRule>
  </conditionalFormatting>
  <conditionalFormatting sqref="U2:U211">
    <cfRule type="expression" dxfId="3" priority="16">
      <formula>$U2="P"</formula>
    </cfRule>
  </conditionalFormatting>
  <dataValidations>
    <dataValidation type="list" allowBlank="1" sqref="S2:S211">
      <formula1>"1,2,3,P"</formula1>
    </dataValidation>
    <dataValidation type="list" allowBlank="1" sqref="Y2:Y211">
      <formula1>"A,B,C,D,N"</formula1>
    </dataValidation>
    <dataValidation type="list" allowBlank="1" sqref="AK2:AK211">
      <formula1>"yes,no"</formula1>
    </dataValidation>
    <dataValidation type="list" allowBlank="1" sqref="J2:J211">
      <formula1>"yes,partial,no"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14.0"/>
    <col customWidth="1" min="3" max="3" width="70.0"/>
    <col customWidth="1" min="4" max="4" width="32.0"/>
    <col customWidth="1" min="5" max="5" width="14.0"/>
    <col customWidth="1" min="6" max="6" width="34.0"/>
    <col customWidth="1" min="7" max="7" width="70.0"/>
    <col customWidth="1" min="8" max="26" width="8.71"/>
  </cols>
  <sheetData>
    <row r="1">
      <c r="A1" s="12" t="s">
        <v>355</v>
      </c>
    </row>
    <row r="2">
      <c r="A2" s="2" t="s">
        <v>358</v>
      </c>
    </row>
    <row r="4" ht="36.0" customHeight="1">
      <c r="A4" s="6" t="s">
        <v>107</v>
      </c>
      <c r="B4" s="6" t="s">
        <v>88</v>
      </c>
      <c r="C4" s="6" t="s">
        <v>363</v>
      </c>
      <c r="D4" s="6" t="s">
        <v>364</v>
      </c>
      <c r="E4" s="6" t="s">
        <v>366</v>
      </c>
      <c r="F4" s="6" t="s">
        <v>367</v>
      </c>
      <c r="G4" s="6" t="s">
        <v>368</v>
      </c>
    </row>
    <row r="5">
      <c r="A5" s="9" t="s">
        <v>370</v>
      </c>
      <c r="B5" s="8">
        <v>1.5</v>
      </c>
      <c r="C5" s="8" t="s">
        <v>372</v>
      </c>
      <c r="D5" s="8" t="s">
        <v>373</v>
      </c>
      <c r="E5" s="8" t="s">
        <v>374</v>
      </c>
      <c r="F5" s="8" t="s">
        <v>375</v>
      </c>
      <c r="G5" s="8" t="s">
        <v>376</v>
      </c>
    </row>
    <row r="6">
      <c r="A6" s="9" t="s">
        <v>378</v>
      </c>
      <c r="B6" s="8">
        <v>1.0</v>
      </c>
      <c r="C6" s="8" t="s">
        <v>207</v>
      </c>
      <c r="D6" s="8" t="s">
        <v>380</v>
      </c>
      <c r="E6" s="8" t="s">
        <v>382</v>
      </c>
      <c r="F6" s="8" t="s">
        <v>151</v>
      </c>
      <c r="G6" s="8" t="s">
        <v>383</v>
      </c>
    </row>
    <row r="7">
      <c r="A7" s="9" t="s">
        <v>385</v>
      </c>
      <c r="B7" s="8">
        <v>1.0</v>
      </c>
      <c r="C7" s="8" t="s">
        <v>207</v>
      </c>
      <c r="D7" s="8" t="s">
        <v>387</v>
      </c>
      <c r="E7" s="8" t="s">
        <v>382</v>
      </c>
      <c r="F7" s="8" t="s">
        <v>151</v>
      </c>
      <c r="G7" s="8" t="s">
        <v>388</v>
      </c>
    </row>
    <row r="8">
      <c r="A8" s="9" t="s">
        <v>390</v>
      </c>
      <c r="B8" s="8">
        <v>1.0</v>
      </c>
      <c r="C8" s="8" t="s">
        <v>207</v>
      </c>
      <c r="D8" s="8" t="s">
        <v>391</v>
      </c>
      <c r="E8" s="8" t="s">
        <v>382</v>
      </c>
      <c r="F8" s="8" t="s">
        <v>393</v>
      </c>
      <c r="G8" s="8" t="s">
        <v>394</v>
      </c>
    </row>
    <row r="9">
      <c r="A9" s="9" t="s">
        <v>396</v>
      </c>
      <c r="B9" s="8">
        <v>1.0</v>
      </c>
      <c r="C9" s="8" t="s">
        <v>207</v>
      </c>
      <c r="D9" s="8" t="s">
        <v>169</v>
      </c>
      <c r="E9" s="8" t="s">
        <v>382</v>
      </c>
      <c r="F9" s="8" t="s">
        <v>151</v>
      </c>
      <c r="G9" s="8" t="s">
        <v>400</v>
      </c>
    </row>
    <row r="10">
      <c r="A10" s="9" t="s">
        <v>402</v>
      </c>
      <c r="B10" s="8">
        <v>0.9</v>
      </c>
      <c r="C10" s="8" t="s">
        <v>207</v>
      </c>
      <c r="D10" s="8" t="s">
        <v>387</v>
      </c>
      <c r="E10" s="8" t="s">
        <v>382</v>
      </c>
      <c r="F10" s="8" t="s">
        <v>151</v>
      </c>
      <c r="G10" s="8" t="s">
        <v>405</v>
      </c>
    </row>
    <row r="11">
      <c r="A11" s="9" t="s">
        <v>406</v>
      </c>
      <c r="B11" s="8">
        <v>0.9</v>
      </c>
      <c r="C11" s="8" t="s">
        <v>207</v>
      </c>
      <c r="D11" s="8" t="s">
        <v>391</v>
      </c>
      <c r="E11" s="8" t="s">
        <v>374</v>
      </c>
      <c r="F11" s="8" t="s">
        <v>151</v>
      </c>
      <c r="G11" s="8" t="s">
        <v>408</v>
      </c>
    </row>
    <row r="12">
      <c r="A12" s="9" t="s">
        <v>409</v>
      </c>
      <c r="B12" s="8">
        <v>0.9</v>
      </c>
      <c r="C12" s="8" t="s">
        <v>207</v>
      </c>
      <c r="D12" s="8" t="s">
        <v>411</v>
      </c>
      <c r="E12" s="8" t="s">
        <v>382</v>
      </c>
      <c r="F12" s="8" t="s">
        <v>151</v>
      </c>
      <c r="G12" s="8" t="s">
        <v>412</v>
      </c>
    </row>
    <row r="13">
      <c r="A13" s="9" t="s">
        <v>413</v>
      </c>
      <c r="B13" s="8">
        <v>0.9</v>
      </c>
      <c r="C13" s="8" t="s">
        <v>207</v>
      </c>
      <c r="D13" s="8" t="s">
        <v>169</v>
      </c>
      <c r="E13" s="8" t="s">
        <v>382</v>
      </c>
      <c r="F13" s="8" t="s">
        <v>151</v>
      </c>
      <c r="G13" s="8" t="s">
        <v>416</v>
      </c>
    </row>
    <row r="14">
      <c r="A14" s="9" t="s">
        <v>417</v>
      </c>
      <c r="B14" s="8">
        <v>0.9</v>
      </c>
      <c r="C14" s="8" t="s">
        <v>207</v>
      </c>
      <c r="D14" s="8" t="s">
        <v>387</v>
      </c>
      <c r="E14" s="8" t="s">
        <v>382</v>
      </c>
      <c r="F14" s="8" t="s">
        <v>151</v>
      </c>
      <c r="G14" s="8" t="s">
        <v>421</v>
      </c>
    </row>
    <row r="15">
      <c r="A15" s="9" t="s">
        <v>423</v>
      </c>
      <c r="B15" s="8">
        <v>0.9</v>
      </c>
      <c r="C15" s="8" t="s">
        <v>207</v>
      </c>
      <c r="D15" s="8" t="s">
        <v>424</v>
      </c>
      <c r="E15" s="8" t="s">
        <v>382</v>
      </c>
      <c r="F15" s="8" t="s">
        <v>393</v>
      </c>
      <c r="G15" s="8" t="s">
        <v>426</v>
      </c>
    </row>
    <row r="16">
      <c r="A16" s="9" t="s">
        <v>427</v>
      </c>
      <c r="B16" s="8">
        <v>0.9</v>
      </c>
      <c r="C16" s="8" t="s">
        <v>207</v>
      </c>
      <c r="D16" s="8" t="s">
        <v>259</v>
      </c>
      <c r="E16" s="8" t="s">
        <v>382</v>
      </c>
      <c r="F16" s="8" t="s">
        <v>151</v>
      </c>
      <c r="G16" s="8" t="s">
        <v>429</v>
      </c>
    </row>
    <row r="17">
      <c r="A17" s="9" t="s">
        <v>430</v>
      </c>
      <c r="B17" s="8">
        <v>0.9</v>
      </c>
      <c r="C17" s="8" t="s">
        <v>207</v>
      </c>
      <c r="D17" s="8" t="s">
        <v>316</v>
      </c>
      <c r="E17" s="8" t="s">
        <v>382</v>
      </c>
      <c r="F17" s="8" t="s">
        <v>164</v>
      </c>
      <c r="G17" s="8" t="s">
        <v>432</v>
      </c>
    </row>
    <row r="18">
      <c r="A18" s="9" t="s">
        <v>203</v>
      </c>
      <c r="B18" s="8">
        <v>0.8</v>
      </c>
      <c r="C18" s="8" t="s">
        <v>207</v>
      </c>
      <c r="D18" s="8" t="s">
        <v>169</v>
      </c>
      <c r="E18" s="8" t="s">
        <v>382</v>
      </c>
      <c r="F18" s="8" t="s">
        <v>151</v>
      </c>
      <c r="G18" s="8" t="s">
        <v>206</v>
      </c>
    </row>
    <row r="19">
      <c r="A19" s="9" t="s">
        <v>447</v>
      </c>
      <c r="B19" s="8">
        <v>0.8</v>
      </c>
      <c r="C19" s="8" t="s">
        <v>207</v>
      </c>
      <c r="D19" s="8" t="s">
        <v>450</v>
      </c>
      <c r="E19" s="8" t="s">
        <v>382</v>
      </c>
      <c r="F19" s="8" t="s">
        <v>393</v>
      </c>
      <c r="G19" s="8" t="s">
        <v>452</v>
      </c>
    </row>
    <row r="20">
      <c r="A20" s="9" t="s">
        <v>454</v>
      </c>
      <c r="B20" s="8">
        <v>0.8</v>
      </c>
      <c r="C20" s="8" t="s">
        <v>207</v>
      </c>
      <c r="D20" s="8" t="s">
        <v>457</v>
      </c>
      <c r="E20" s="8" t="s">
        <v>382</v>
      </c>
      <c r="F20" s="8" t="s">
        <v>393</v>
      </c>
      <c r="G20" s="8" t="s">
        <v>458</v>
      </c>
    </row>
    <row r="21" ht="15.75" customHeight="1"/>
    <row r="22" ht="15.75" customHeight="1">
      <c r="A22" s="3" t="s">
        <v>462</v>
      </c>
    </row>
    <row r="23" ht="15.75" customHeight="1">
      <c r="A23" s="4" t="s">
        <v>465</v>
      </c>
    </row>
    <row r="24" ht="15.75" customHeight="1">
      <c r="A24" s="4" t="s">
        <v>469</v>
      </c>
    </row>
    <row r="25" ht="15.75" customHeight="1">
      <c r="A25" s="4" t="s">
        <v>471</v>
      </c>
    </row>
    <row r="26" ht="15.75" customHeight="1"/>
    <row r="27" ht="36.0" customHeight="1">
      <c r="A27" s="6" t="s">
        <v>476</v>
      </c>
      <c r="B27" s="6" t="s">
        <v>478</v>
      </c>
      <c r="C27" s="6" t="s">
        <v>479</v>
      </c>
    </row>
    <row r="28" ht="15.75" customHeight="1">
      <c r="A28" s="9" t="s">
        <v>256</v>
      </c>
      <c r="B28" s="8">
        <v>0.5</v>
      </c>
      <c r="C28" s="8" t="s">
        <v>263</v>
      </c>
    </row>
    <row r="29" ht="15.75" customHeight="1">
      <c r="A29" s="9" t="s">
        <v>327</v>
      </c>
      <c r="B29" s="8">
        <v>1.2</v>
      </c>
      <c r="C29" s="8" t="s">
        <v>331</v>
      </c>
    </row>
    <row r="30" ht="15.75" customHeight="1">
      <c r="A30" s="9" t="s">
        <v>490</v>
      </c>
      <c r="B30" s="8">
        <v>0.4</v>
      </c>
      <c r="C30" s="8" t="s">
        <v>493</v>
      </c>
    </row>
    <row r="31" ht="15.75" customHeight="1">
      <c r="A31" s="9" t="s">
        <v>497</v>
      </c>
      <c r="B31" s="8">
        <v>1.0</v>
      </c>
      <c r="C31" s="8" t="s">
        <v>499</v>
      </c>
    </row>
    <row r="32" ht="15.75" customHeight="1"/>
    <row r="33" ht="36.0" customHeight="1">
      <c r="A33" s="6" t="s">
        <v>502</v>
      </c>
      <c r="B33" s="6" t="s">
        <v>88</v>
      </c>
      <c r="C33" s="6" t="s">
        <v>479</v>
      </c>
    </row>
    <row r="34" ht="15.75" customHeight="1">
      <c r="A34" s="9" t="s">
        <v>506</v>
      </c>
      <c r="B34" s="8">
        <v>0.7</v>
      </c>
      <c r="C34" s="8" t="s">
        <v>508</v>
      </c>
    </row>
    <row r="35" ht="15.75" customHeight="1">
      <c r="A35" s="9" t="s">
        <v>511</v>
      </c>
      <c r="B35" s="8">
        <v>0.7</v>
      </c>
      <c r="C35" s="8" t="s">
        <v>512</v>
      </c>
    </row>
    <row r="36" ht="15.75" customHeight="1">
      <c r="A36" s="9" t="s">
        <v>514</v>
      </c>
      <c r="B36" s="8">
        <v>0.7</v>
      </c>
      <c r="C36" s="8" t="s">
        <v>516</v>
      </c>
    </row>
    <row r="37" ht="15.75" customHeight="1">
      <c r="A37" s="9" t="s">
        <v>520</v>
      </c>
      <c r="B37" s="8">
        <v>0.7</v>
      </c>
      <c r="C37" s="8" t="s">
        <v>522</v>
      </c>
    </row>
    <row r="38" ht="15.75" customHeight="1">
      <c r="A38" s="9" t="s">
        <v>526</v>
      </c>
      <c r="B38" s="8">
        <v>0.7</v>
      </c>
      <c r="C38" s="8" t="s">
        <v>530</v>
      </c>
    </row>
    <row r="39" ht="15.75" customHeight="1">
      <c r="A39" s="9" t="s">
        <v>438</v>
      </c>
      <c r="B39" s="8">
        <v>0.6</v>
      </c>
      <c r="C39" s="8" t="s">
        <v>439</v>
      </c>
    </row>
    <row r="40" ht="15.75" customHeight="1">
      <c r="A40" s="9" t="s">
        <v>536</v>
      </c>
      <c r="B40" s="8">
        <v>0.6</v>
      </c>
      <c r="C40" s="8" t="s">
        <v>537</v>
      </c>
    </row>
    <row r="41" ht="15.75" customHeight="1">
      <c r="A41" s="9" t="s">
        <v>538</v>
      </c>
      <c r="B41" s="8">
        <v>0.6</v>
      </c>
      <c r="C41" s="8" t="s">
        <v>539</v>
      </c>
    </row>
    <row r="42" ht="15.75" customHeight="1">
      <c r="A42" s="9" t="s">
        <v>540</v>
      </c>
      <c r="B42" s="8">
        <v>0.6</v>
      </c>
      <c r="C42" s="8" t="s">
        <v>543</v>
      </c>
    </row>
    <row r="43" ht="15.75" customHeight="1">
      <c r="A43" s="9" t="s">
        <v>545</v>
      </c>
      <c r="B43" s="8">
        <v>0.5</v>
      </c>
      <c r="C43" s="8" t="s">
        <v>547</v>
      </c>
    </row>
    <row r="44" ht="15.75" customHeight="1">
      <c r="A44" s="9" t="s">
        <v>551</v>
      </c>
      <c r="B44" s="8">
        <v>0.5</v>
      </c>
      <c r="C44" s="8" t="s">
        <v>553</v>
      </c>
    </row>
    <row r="45" ht="15.75" customHeight="1">
      <c r="A45" s="9" t="s">
        <v>555</v>
      </c>
      <c r="B45" s="8">
        <v>0.5</v>
      </c>
      <c r="C45" s="8" t="s">
        <v>556</v>
      </c>
    </row>
    <row r="46" ht="15.75" customHeight="1">
      <c r="A46" s="9" t="s">
        <v>558</v>
      </c>
      <c r="B46" s="8">
        <v>0.5</v>
      </c>
      <c r="C46" s="8" t="s">
        <v>560</v>
      </c>
    </row>
    <row r="47" ht="15.75" customHeight="1">
      <c r="A47" s="9" t="s">
        <v>563</v>
      </c>
      <c r="B47" s="8">
        <v>0.5</v>
      </c>
      <c r="C47" s="8" t="s">
        <v>566</v>
      </c>
    </row>
    <row r="48" ht="15.75" customHeight="1">
      <c r="A48" s="9" t="s">
        <v>567</v>
      </c>
      <c r="B48" s="8">
        <v>0.5</v>
      </c>
      <c r="C48" s="8" t="s">
        <v>569</v>
      </c>
    </row>
    <row r="49" ht="15.75" customHeight="1">
      <c r="A49" s="9" t="s">
        <v>572</v>
      </c>
      <c r="B49" s="8">
        <v>0.5</v>
      </c>
      <c r="C49" s="8" t="s">
        <v>574</v>
      </c>
    </row>
    <row r="50" ht="15.75" customHeight="1">
      <c r="A50" s="9" t="s">
        <v>69</v>
      </c>
      <c r="B50" s="8">
        <v>0.5</v>
      </c>
      <c r="C50" s="8" t="s">
        <v>579</v>
      </c>
    </row>
    <row r="51" ht="15.75" customHeight="1">
      <c r="A51" s="9" t="s">
        <v>580</v>
      </c>
      <c r="B51" s="8">
        <v>0.5</v>
      </c>
      <c r="C51" s="8" t="s">
        <v>583</v>
      </c>
    </row>
    <row r="52" ht="15.75" customHeight="1">
      <c r="A52" s="9" t="s">
        <v>584</v>
      </c>
      <c r="B52" s="8">
        <v>0.5</v>
      </c>
      <c r="C52" s="8" t="s">
        <v>585</v>
      </c>
    </row>
    <row r="53" ht="15.75" customHeight="1">
      <c r="A53" s="9" t="s">
        <v>587</v>
      </c>
      <c r="B53" s="8">
        <v>0.5</v>
      </c>
      <c r="C53" s="8" t="s">
        <v>588</v>
      </c>
    </row>
    <row r="54" ht="15.75" customHeight="1">
      <c r="A54" s="9" t="s">
        <v>232</v>
      </c>
      <c r="B54" s="8">
        <v>0.4</v>
      </c>
      <c r="C54" s="8" t="s">
        <v>235</v>
      </c>
    </row>
    <row r="55" ht="15.75" customHeight="1">
      <c r="A55" s="9" t="s">
        <v>299</v>
      </c>
      <c r="B55" s="8">
        <v>0.4</v>
      </c>
      <c r="C55" s="8" t="s">
        <v>304</v>
      </c>
    </row>
    <row r="56" ht="15.75" customHeight="1">
      <c r="A56" s="9" t="s">
        <v>343</v>
      </c>
      <c r="B56" s="8">
        <v>0.4</v>
      </c>
      <c r="C56" s="8" t="s">
        <v>346</v>
      </c>
    </row>
    <row r="57" ht="15.75" customHeight="1">
      <c r="A57" s="9" t="s">
        <v>422</v>
      </c>
      <c r="B57" s="8">
        <v>0.4</v>
      </c>
      <c r="C57" s="8" t="s">
        <v>428</v>
      </c>
    </row>
    <row r="58" ht="15.75" customHeight="1">
      <c r="A58" s="9" t="s">
        <v>593</v>
      </c>
      <c r="B58" s="8">
        <v>0.4</v>
      </c>
      <c r="C58" s="8" t="s">
        <v>595</v>
      </c>
    </row>
    <row r="59" ht="15.75" customHeight="1">
      <c r="A59" s="9" t="s">
        <v>597</v>
      </c>
      <c r="B59" s="8">
        <v>0.4</v>
      </c>
      <c r="C59" s="8" t="s">
        <v>600</v>
      </c>
    </row>
    <row r="60" ht="15.75" customHeight="1">
      <c r="A60" s="9" t="s">
        <v>601</v>
      </c>
      <c r="B60" s="8">
        <v>0.4</v>
      </c>
      <c r="C60" s="8" t="s">
        <v>602</v>
      </c>
    </row>
    <row r="61" ht="15.75" customHeight="1">
      <c r="A61" s="9" t="s">
        <v>604</v>
      </c>
      <c r="B61" s="8">
        <v>0.4</v>
      </c>
      <c r="C61" s="8" t="s">
        <v>605</v>
      </c>
    </row>
    <row r="62" ht="15.75" customHeight="1">
      <c r="A62" s="9" t="s">
        <v>606</v>
      </c>
      <c r="B62" s="8">
        <v>0.4</v>
      </c>
      <c r="C62" s="8" t="s">
        <v>607</v>
      </c>
    </row>
    <row r="63" ht="15.75" customHeight="1">
      <c r="A63" s="9" t="s">
        <v>608</v>
      </c>
      <c r="B63" s="8">
        <v>0.4</v>
      </c>
      <c r="C63" s="8" t="s">
        <v>609</v>
      </c>
    </row>
    <row r="64" ht="15.75" customHeight="1">
      <c r="A64" s="9" t="s">
        <v>611</v>
      </c>
      <c r="B64" s="8">
        <v>0.4</v>
      </c>
      <c r="C64" s="8" t="s">
        <v>613</v>
      </c>
    </row>
    <row r="65" ht="15.75" customHeight="1">
      <c r="A65" s="9" t="s">
        <v>614</v>
      </c>
      <c r="B65" s="8">
        <v>0.4</v>
      </c>
      <c r="C65" s="8" t="s">
        <v>615</v>
      </c>
    </row>
    <row r="66" ht="15.75" customHeight="1">
      <c r="A66" s="9" t="s">
        <v>617</v>
      </c>
      <c r="B66" s="8">
        <v>0.4</v>
      </c>
      <c r="C66" s="8" t="s">
        <v>618</v>
      </c>
    </row>
    <row r="67" ht="15.75" customHeight="1">
      <c r="A67" s="9" t="s">
        <v>621</v>
      </c>
      <c r="B67" s="8">
        <v>0.4</v>
      </c>
      <c r="C67" s="8" t="s">
        <v>622</v>
      </c>
    </row>
    <row r="68" ht="15.75" customHeight="1">
      <c r="A68" s="9" t="s">
        <v>625</v>
      </c>
      <c r="B68" s="8">
        <v>0.4</v>
      </c>
      <c r="C68" s="8" t="s">
        <v>626</v>
      </c>
    </row>
    <row r="69" ht="15.75" customHeight="1">
      <c r="A69" s="9" t="s">
        <v>627</v>
      </c>
      <c r="B69" s="8">
        <v>0.4</v>
      </c>
      <c r="C69" s="8" t="s">
        <v>628</v>
      </c>
    </row>
    <row r="70" ht="15.75" customHeight="1">
      <c r="A70" s="9" t="s">
        <v>136</v>
      </c>
      <c r="B70" s="8">
        <v>0.3</v>
      </c>
      <c r="C70" s="8" t="s">
        <v>146</v>
      </c>
    </row>
    <row r="71" ht="15.75" customHeight="1">
      <c r="A71" s="9" t="s">
        <v>186</v>
      </c>
      <c r="B71" s="8">
        <v>0.3</v>
      </c>
      <c r="C71" s="8" t="s">
        <v>191</v>
      </c>
    </row>
    <row r="72" ht="15.75" customHeight="1">
      <c r="A72" s="9" t="s">
        <v>313</v>
      </c>
      <c r="B72" s="8">
        <v>0.3</v>
      </c>
      <c r="C72" s="8" t="s">
        <v>317</v>
      </c>
    </row>
    <row r="73" ht="15.75" customHeight="1">
      <c r="A73" s="9" t="s">
        <v>449</v>
      </c>
      <c r="B73" s="8">
        <v>0.3</v>
      </c>
      <c r="C73" s="8" t="s">
        <v>456</v>
      </c>
    </row>
    <row r="74" ht="15.75" customHeight="1">
      <c r="A74" s="9" t="s">
        <v>640</v>
      </c>
      <c r="B74" s="8">
        <v>0.3</v>
      </c>
      <c r="C74" s="8" t="s">
        <v>641</v>
      </c>
    </row>
    <row r="75" ht="15.75" customHeight="1">
      <c r="A75" s="9" t="s">
        <v>644</v>
      </c>
      <c r="B75" s="8">
        <v>0.3</v>
      </c>
      <c r="C75" s="8" t="s">
        <v>645</v>
      </c>
    </row>
    <row r="76" ht="15.75" customHeight="1">
      <c r="A76" s="9" t="s">
        <v>646</v>
      </c>
      <c r="B76" s="8">
        <v>0.3</v>
      </c>
      <c r="C76" s="8" t="s">
        <v>647</v>
      </c>
    </row>
    <row r="77" ht="15.75" customHeight="1">
      <c r="A77" s="9" t="s">
        <v>648</v>
      </c>
      <c r="B77" s="8">
        <v>0.3</v>
      </c>
      <c r="C77" s="8" t="s">
        <v>650</v>
      </c>
    </row>
    <row r="78" ht="15.75" customHeight="1">
      <c r="A78" s="9" t="s">
        <v>652</v>
      </c>
      <c r="B78" s="8">
        <v>0.3</v>
      </c>
      <c r="C78" s="8" t="s">
        <v>655</v>
      </c>
    </row>
    <row r="79" ht="15.75" customHeight="1">
      <c r="A79" s="9" t="s">
        <v>657</v>
      </c>
      <c r="B79" s="8">
        <v>0.3</v>
      </c>
      <c r="C79" s="8" t="s">
        <v>659</v>
      </c>
    </row>
    <row r="80" ht="15.75" customHeight="1">
      <c r="A80" s="9" t="s">
        <v>661</v>
      </c>
      <c r="B80" s="8">
        <v>0.3</v>
      </c>
      <c r="C80" s="8" t="s">
        <v>663</v>
      </c>
    </row>
    <row r="81" ht="15.75" customHeight="1">
      <c r="A81" s="9" t="s">
        <v>666</v>
      </c>
      <c r="B81" s="8">
        <v>0.3</v>
      </c>
      <c r="C81" s="8" t="s">
        <v>667</v>
      </c>
    </row>
    <row r="82" ht="15.75" customHeight="1">
      <c r="A82" s="9" t="s">
        <v>668</v>
      </c>
      <c r="B82" s="8">
        <v>0.3</v>
      </c>
      <c r="C82" s="8" t="s">
        <v>671</v>
      </c>
    </row>
    <row r="83" ht="15.75" customHeight="1">
      <c r="A83" s="9" t="s">
        <v>218</v>
      </c>
      <c r="B83" s="8">
        <v>0.2</v>
      </c>
      <c r="C83" s="8" t="s">
        <v>224</v>
      </c>
    </row>
    <row r="84" ht="15.75" customHeight="1">
      <c r="A84" s="9" t="s">
        <v>275</v>
      </c>
      <c r="B84" s="8">
        <v>0.2</v>
      </c>
      <c r="C84" s="8" t="s">
        <v>277</v>
      </c>
    </row>
    <row r="85" ht="15.75" customHeight="1">
      <c r="A85" s="9" t="s">
        <v>284</v>
      </c>
      <c r="B85" s="8">
        <v>0.2</v>
      </c>
      <c r="C85" s="8" t="s">
        <v>288</v>
      </c>
    </row>
    <row r="86" ht="15.75" customHeight="1">
      <c r="A86" s="9" t="s">
        <v>294</v>
      </c>
      <c r="B86" s="8">
        <v>0.2</v>
      </c>
      <c r="C86" s="8" t="s">
        <v>295</v>
      </c>
    </row>
    <row r="87" ht="15.75" customHeight="1">
      <c r="A87" s="9" t="s">
        <v>354</v>
      </c>
      <c r="B87" s="8">
        <v>0.2</v>
      </c>
      <c r="C87" s="8" t="s">
        <v>357</v>
      </c>
    </row>
    <row r="88" ht="15.75" customHeight="1">
      <c r="A88" s="9" t="s">
        <v>362</v>
      </c>
      <c r="B88" s="8">
        <v>0.2</v>
      </c>
      <c r="C88" s="8" t="s">
        <v>369</v>
      </c>
    </row>
    <row r="89" ht="15.75" customHeight="1">
      <c r="A89" s="9" t="s">
        <v>381</v>
      </c>
      <c r="B89" s="8">
        <v>0.2</v>
      </c>
      <c r="C89" s="8" t="s">
        <v>389</v>
      </c>
    </row>
    <row r="90" ht="15.75" customHeight="1">
      <c r="A90" s="9" t="s">
        <v>681</v>
      </c>
      <c r="B90" s="8">
        <v>0.2</v>
      </c>
      <c r="C90" s="8" t="s">
        <v>682</v>
      </c>
    </row>
    <row r="91" ht="15.75" customHeight="1">
      <c r="A91" s="9" t="s">
        <v>683</v>
      </c>
      <c r="B91" s="8">
        <v>0.2</v>
      </c>
      <c r="C91" s="8" t="s">
        <v>684</v>
      </c>
    </row>
    <row r="92" ht="15.75" customHeight="1">
      <c r="A92" s="9" t="s">
        <v>685</v>
      </c>
      <c r="B92" s="8">
        <v>0.2</v>
      </c>
      <c r="C92" s="8" t="s">
        <v>687</v>
      </c>
    </row>
    <row r="93" ht="15.75" customHeight="1">
      <c r="A93" s="9" t="s">
        <v>244</v>
      </c>
      <c r="B93" s="8">
        <v>0.1</v>
      </c>
      <c r="C93" s="8" t="s">
        <v>247</v>
      </c>
    </row>
    <row r="94" ht="15.75" customHeight="1">
      <c r="A94" s="9" t="s">
        <v>691</v>
      </c>
      <c r="B94" s="8">
        <v>0.1</v>
      </c>
      <c r="C94" s="8" t="s">
        <v>693</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3:B23"/>
    <mergeCell ref="A24:B24"/>
    <mergeCell ref="A25:B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34.0"/>
    <col customWidth="1" min="3" max="3" width="80.0"/>
    <col customWidth="1" min="4" max="4" width="14.0"/>
    <col customWidth="1" min="5" max="26" width="8.71"/>
  </cols>
  <sheetData>
    <row r="1">
      <c r="A1" s="12" t="s">
        <v>463</v>
      </c>
    </row>
    <row r="3" ht="36.0" customHeight="1">
      <c r="A3" s="6" t="s">
        <v>470</v>
      </c>
      <c r="B3" s="6" t="s">
        <v>472</v>
      </c>
      <c r="C3" s="6" t="s">
        <v>473</v>
      </c>
      <c r="D3" s="6" t="s">
        <v>475</v>
      </c>
    </row>
    <row r="4">
      <c r="A4" s="9" t="s">
        <v>480</v>
      </c>
      <c r="B4" s="8" t="s">
        <v>302</v>
      </c>
      <c r="C4" s="8" t="s">
        <v>483</v>
      </c>
      <c r="D4" s="8" t="s">
        <v>164</v>
      </c>
    </row>
    <row r="5">
      <c r="A5" s="9" t="s">
        <v>488</v>
      </c>
      <c r="B5" s="8" t="s">
        <v>169</v>
      </c>
      <c r="C5" s="8" t="s">
        <v>491</v>
      </c>
      <c r="D5" s="8" t="s">
        <v>164</v>
      </c>
    </row>
    <row r="6">
      <c r="A6" s="9" t="s">
        <v>496</v>
      </c>
      <c r="B6" s="8" t="s">
        <v>498</v>
      </c>
      <c r="C6" s="8" t="s">
        <v>500</v>
      </c>
      <c r="D6" s="8" t="s">
        <v>164</v>
      </c>
    </row>
    <row r="7">
      <c r="A7" s="9" t="s">
        <v>503</v>
      </c>
      <c r="B7" s="8" t="s">
        <v>455</v>
      </c>
      <c r="C7" s="8" t="s">
        <v>505</v>
      </c>
      <c r="D7" s="8" t="s">
        <v>164</v>
      </c>
    </row>
    <row r="8">
      <c r="A8" s="9" t="s">
        <v>507</v>
      </c>
      <c r="B8" s="8" t="s">
        <v>509</v>
      </c>
      <c r="C8" s="8" t="s">
        <v>510</v>
      </c>
      <c r="D8" s="8" t="s">
        <v>164</v>
      </c>
    </row>
    <row r="9">
      <c r="A9" s="9" t="s">
        <v>504</v>
      </c>
      <c r="B9" s="8" t="s">
        <v>515</v>
      </c>
      <c r="C9" s="8" t="s">
        <v>517</v>
      </c>
      <c r="D9" s="8" t="s">
        <v>141</v>
      </c>
    </row>
    <row r="10">
      <c r="A10" s="9" t="s">
        <v>521</v>
      </c>
      <c r="B10" s="8" t="s">
        <v>523</v>
      </c>
      <c r="C10" s="8" t="s">
        <v>524</v>
      </c>
      <c r="D10" s="8" t="s">
        <v>164</v>
      </c>
    </row>
    <row r="11">
      <c r="A11" s="9" t="s">
        <v>527</v>
      </c>
      <c r="B11" s="8" t="s">
        <v>529</v>
      </c>
      <c r="C11" s="8" t="s">
        <v>531</v>
      </c>
      <c r="D11" s="8" t="s">
        <v>141</v>
      </c>
    </row>
    <row r="12">
      <c r="A12" s="9" t="s">
        <v>534</v>
      </c>
      <c r="B12" s="8" t="s">
        <v>529</v>
      </c>
      <c r="C12" s="8" t="s">
        <v>535</v>
      </c>
      <c r="D12" s="8" t="s">
        <v>141</v>
      </c>
    </row>
    <row r="13">
      <c r="A13" s="9" t="s">
        <v>541</v>
      </c>
      <c r="B13" s="8" t="s">
        <v>529</v>
      </c>
      <c r="C13" s="8" t="s">
        <v>544</v>
      </c>
      <c r="D13" s="8" t="s">
        <v>141</v>
      </c>
    </row>
    <row r="14">
      <c r="A14" s="9" t="s">
        <v>546</v>
      </c>
      <c r="B14" s="8" t="s">
        <v>529</v>
      </c>
      <c r="C14" s="8" t="s">
        <v>549</v>
      </c>
      <c r="D14" s="8" t="s">
        <v>141</v>
      </c>
    </row>
    <row r="15">
      <c r="A15" s="9" t="s">
        <v>552</v>
      </c>
      <c r="B15" s="8" t="s">
        <v>529</v>
      </c>
      <c r="C15" s="8" t="s">
        <v>554</v>
      </c>
      <c r="D15" s="8" t="s">
        <v>141</v>
      </c>
    </row>
    <row r="16">
      <c r="A16" s="9" t="s">
        <v>557</v>
      </c>
      <c r="B16" s="8" t="s">
        <v>529</v>
      </c>
      <c r="C16" s="8" t="s">
        <v>559</v>
      </c>
      <c r="D16" s="8" t="s">
        <v>164</v>
      </c>
    </row>
    <row r="17">
      <c r="A17" s="9" t="s">
        <v>562</v>
      </c>
      <c r="B17" s="8" t="s">
        <v>529</v>
      </c>
      <c r="C17" s="8" t="s">
        <v>565</v>
      </c>
      <c r="D17" s="8" t="s">
        <v>164</v>
      </c>
    </row>
    <row r="18">
      <c r="A18" s="9" t="s">
        <v>568</v>
      </c>
      <c r="B18" s="8" t="s">
        <v>529</v>
      </c>
      <c r="C18" s="8" t="s">
        <v>571</v>
      </c>
      <c r="D18" s="8" t="s">
        <v>164</v>
      </c>
    </row>
    <row r="19">
      <c r="A19" s="9" t="s">
        <v>575</v>
      </c>
      <c r="B19" s="8" t="s">
        <v>529</v>
      </c>
      <c r="C19" s="8" t="s">
        <v>578</v>
      </c>
      <c r="D19" s="8" t="s">
        <v>164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0"/>
    <col customWidth="1" min="3" max="26" width="8.71"/>
  </cols>
  <sheetData>
    <row r="1">
      <c r="A1" s="12" t="s">
        <v>742</v>
      </c>
    </row>
    <row r="3" ht="36.0" customHeight="1">
      <c r="A3" s="6" t="s">
        <v>745</v>
      </c>
      <c r="B3" s="6" t="s">
        <v>746</v>
      </c>
    </row>
    <row r="4">
      <c r="A4" s="13" t="s">
        <v>748</v>
      </c>
      <c r="B4" s="14" t="s">
        <v>759</v>
      </c>
    </row>
    <row r="5">
      <c r="A5" s="13" t="s">
        <v>760</v>
      </c>
      <c r="B5" s="14" t="s">
        <v>763</v>
      </c>
    </row>
    <row r="6">
      <c r="A6" s="13" t="s">
        <v>455</v>
      </c>
      <c r="B6" s="14" t="s">
        <v>764</v>
      </c>
    </row>
    <row r="7">
      <c r="A7" s="13" t="s">
        <v>765</v>
      </c>
      <c r="B7" s="14" t="s">
        <v>766</v>
      </c>
    </row>
    <row r="8">
      <c r="A8" s="13" t="s">
        <v>169</v>
      </c>
      <c r="B8" s="14" t="s">
        <v>767</v>
      </c>
    </row>
    <row r="9">
      <c r="A9" s="13" t="s">
        <v>498</v>
      </c>
      <c r="B9" s="14" t="s">
        <v>768</v>
      </c>
    </row>
    <row r="10">
      <c r="A10" s="13" t="s">
        <v>769</v>
      </c>
      <c r="B10" s="14" t="s">
        <v>770</v>
      </c>
    </row>
    <row r="11">
      <c r="A11" s="13" t="s">
        <v>771</v>
      </c>
      <c r="B11" s="14" t="s">
        <v>772</v>
      </c>
    </row>
    <row r="12">
      <c r="A12" s="13" t="s">
        <v>773</v>
      </c>
      <c r="B12" s="14" t="s">
        <v>774</v>
      </c>
    </row>
    <row r="13">
      <c r="A13" s="13" t="s">
        <v>775</v>
      </c>
      <c r="B13" s="14" t="s">
        <v>776</v>
      </c>
    </row>
    <row r="14">
      <c r="A14" s="13" t="s">
        <v>777</v>
      </c>
      <c r="B14" s="14" t="s">
        <v>778</v>
      </c>
    </row>
    <row r="15">
      <c r="A15" s="13" t="s">
        <v>779</v>
      </c>
      <c r="B15" s="14" t="s">
        <v>780</v>
      </c>
    </row>
    <row r="16">
      <c r="A16" s="13" t="s">
        <v>781</v>
      </c>
      <c r="B16" s="14" t="s">
        <v>782</v>
      </c>
    </row>
    <row r="17">
      <c r="A17" s="13" t="s">
        <v>26</v>
      </c>
      <c r="B17" s="14" t="s">
        <v>998</v>
      </c>
    </row>
    <row r="18">
      <c r="A18" s="13" t="s">
        <v>24</v>
      </c>
      <c r="B18" s="14" t="s">
        <v>999</v>
      </c>
    </row>
    <row r="19">
      <c r="A19" s="13" t="s">
        <v>1000</v>
      </c>
      <c r="B19" s="14" t="s">
        <v>99</v>
      </c>
    </row>
    <row r="20">
      <c r="A20" s="13" t="s">
        <v>1002</v>
      </c>
      <c r="B20" s="14" t="s">
        <v>1003</v>
      </c>
    </row>
    <row r="21" ht="15.75" customHeight="1">
      <c r="A21" s="13" t="s">
        <v>1005</v>
      </c>
      <c r="B21" s="14" t="s">
        <v>1006</v>
      </c>
    </row>
    <row r="22" ht="15.75" customHeight="1">
      <c r="A22" s="13" t="s">
        <v>1009</v>
      </c>
      <c r="B22" s="14" t="s">
        <v>1010</v>
      </c>
    </row>
    <row r="23" ht="15.75" customHeight="1">
      <c r="A23" s="13" t="s">
        <v>1012</v>
      </c>
      <c r="B23" s="14" t="s">
        <v>1014</v>
      </c>
    </row>
    <row r="24" ht="15.75" customHeight="1">
      <c r="A24" s="13" t="s">
        <v>39</v>
      </c>
      <c r="B24" s="14" t="s">
        <v>1016</v>
      </c>
    </row>
    <row r="25" ht="15.75" customHeight="1">
      <c r="A25" s="13" t="s">
        <v>1018</v>
      </c>
      <c r="B25" s="14" t="s">
        <v>1020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
    <col customWidth="1" min="3" max="3" width="32.0"/>
    <col customWidth="1" min="4" max="4" width="9.0"/>
    <col customWidth="1" min="5" max="5" width="12.0"/>
    <col customWidth="1" min="6" max="6" width="14.0"/>
    <col customWidth="1" min="7" max="7" width="13.0"/>
    <col customWidth="1" min="8" max="9" width="22.0"/>
    <col customWidth="1" min="10" max="10" width="40.0"/>
    <col customWidth="1" min="11" max="11" width="52.0"/>
    <col customWidth="1" min="12" max="26" width="8.71"/>
  </cols>
  <sheetData>
    <row r="1" ht="36.0" customHeight="1">
      <c r="A1" s="6" t="s">
        <v>793</v>
      </c>
      <c r="B1" s="6" t="s">
        <v>794</v>
      </c>
      <c r="C1" s="6" t="s">
        <v>795</v>
      </c>
      <c r="D1" s="6" t="s">
        <v>796</v>
      </c>
      <c r="E1" s="6" t="s">
        <v>797</v>
      </c>
      <c r="F1" s="6" t="s">
        <v>799</v>
      </c>
      <c r="G1" s="6" t="s">
        <v>801</v>
      </c>
      <c r="H1" s="6" t="s">
        <v>802</v>
      </c>
      <c r="I1" s="6" t="s">
        <v>803</v>
      </c>
      <c r="J1" s="6" t="s">
        <v>804</v>
      </c>
      <c r="K1" s="6" t="s">
        <v>805</v>
      </c>
    </row>
    <row r="2">
      <c r="A2" s="9" t="s">
        <v>302</v>
      </c>
      <c r="B2" s="8" t="s">
        <v>806</v>
      </c>
      <c r="C2" s="8" t="s">
        <v>807</v>
      </c>
      <c r="D2" s="8" t="s">
        <v>141</v>
      </c>
      <c r="E2" s="8" t="s">
        <v>141</v>
      </c>
      <c r="F2" s="8" t="s">
        <v>141</v>
      </c>
      <c r="G2" s="8" t="s">
        <v>141</v>
      </c>
      <c r="H2" s="8" t="s">
        <v>808</v>
      </c>
      <c r="I2" s="8" t="s">
        <v>809</v>
      </c>
      <c r="J2" s="8" t="s">
        <v>811</v>
      </c>
      <c r="K2" s="8" t="s">
        <v>812</v>
      </c>
    </row>
    <row r="3">
      <c r="A3" s="9" t="s">
        <v>169</v>
      </c>
      <c r="B3" s="8" t="s">
        <v>806</v>
      </c>
      <c r="C3" s="8" t="s">
        <v>815</v>
      </c>
      <c r="D3" s="8" t="s">
        <v>141</v>
      </c>
      <c r="E3" s="8" t="s">
        <v>141</v>
      </c>
      <c r="F3" s="8" t="s">
        <v>816</v>
      </c>
      <c r="G3" s="8" t="s">
        <v>816</v>
      </c>
      <c r="H3" s="8" t="s">
        <v>818</v>
      </c>
      <c r="I3" s="8" t="s">
        <v>820</v>
      </c>
      <c r="J3" s="8" t="s">
        <v>822</v>
      </c>
      <c r="K3" s="8" t="s">
        <v>823</v>
      </c>
    </row>
    <row r="4">
      <c r="A4" s="9" t="s">
        <v>455</v>
      </c>
      <c r="B4" s="8" t="s">
        <v>806</v>
      </c>
      <c r="C4" s="8" t="s">
        <v>826</v>
      </c>
      <c r="D4" s="8" t="s">
        <v>141</v>
      </c>
      <c r="E4" s="8" t="s">
        <v>141</v>
      </c>
      <c r="F4" s="8" t="s">
        <v>141</v>
      </c>
      <c r="G4" s="8" t="s">
        <v>141</v>
      </c>
      <c r="H4" s="8" t="s">
        <v>829</v>
      </c>
      <c r="I4" s="8" t="s">
        <v>830</v>
      </c>
      <c r="J4" s="8" t="s">
        <v>831</v>
      </c>
      <c r="K4" s="8" t="s">
        <v>832</v>
      </c>
    </row>
    <row r="5">
      <c r="A5" s="9" t="s">
        <v>765</v>
      </c>
      <c r="B5" s="8" t="s">
        <v>806</v>
      </c>
      <c r="C5" s="8" t="s">
        <v>835</v>
      </c>
      <c r="D5" s="8" t="s">
        <v>141</v>
      </c>
      <c r="E5" s="8" t="s">
        <v>141</v>
      </c>
      <c r="F5" s="8" t="s">
        <v>141</v>
      </c>
      <c r="G5" s="8" t="s">
        <v>141</v>
      </c>
      <c r="H5" s="8" t="s">
        <v>829</v>
      </c>
      <c r="I5" s="8" t="s">
        <v>830</v>
      </c>
      <c r="J5" s="8" t="s">
        <v>836</v>
      </c>
      <c r="K5" s="8" t="s">
        <v>837</v>
      </c>
    </row>
    <row r="6">
      <c r="A6" s="9" t="s">
        <v>498</v>
      </c>
      <c r="B6" s="8" t="s">
        <v>806</v>
      </c>
      <c r="C6" s="8" t="s">
        <v>838</v>
      </c>
      <c r="D6" s="8" t="s">
        <v>141</v>
      </c>
      <c r="E6" s="8" t="s">
        <v>141</v>
      </c>
      <c r="F6" s="8" t="s">
        <v>141</v>
      </c>
      <c r="G6" s="8" t="s">
        <v>141</v>
      </c>
      <c r="H6" s="8" t="s">
        <v>839</v>
      </c>
      <c r="I6" s="8" t="s">
        <v>840</v>
      </c>
      <c r="J6" s="8" t="s">
        <v>842</v>
      </c>
      <c r="K6" s="8" t="s">
        <v>843</v>
      </c>
    </row>
    <row r="7">
      <c r="A7" s="9" t="s">
        <v>845</v>
      </c>
      <c r="B7" s="8" t="s">
        <v>846</v>
      </c>
      <c r="C7" s="8" t="s">
        <v>847</v>
      </c>
      <c r="D7" s="8" t="s">
        <v>141</v>
      </c>
      <c r="E7" s="8" t="s">
        <v>141</v>
      </c>
      <c r="F7" s="8" t="s">
        <v>141</v>
      </c>
      <c r="G7" s="8" t="s">
        <v>141</v>
      </c>
      <c r="H7" s="8" t="s">
        <v>851</v>
      </c>
      <c r="I7" s="8" t="s">
        <v>853</v>
      </c>
      <c r="J7" s="8" t="s">
        <v>855</v>
      </c>
      <c r="K7" s="8" t="s">
        <v>856</v>
      </c>
    </row>
    <row r="8">
      <c r="A8" s="9" t="s">
        <v>509</v>
      </c>
      <c r="B8" s="8" t="s">
        <v>859</v>
      </c>
      <c r="C8" s="8" t="s">
        <v>861</v>
      </c>
      <c r="D8" s="8" t="s">
        <v>141</v>
      </c>
      <c r="E8" s="8" t="s">
        <v>141</v>
      </c>
      <c r="F8" s="8" t="s">
        <v>865</v>
      </c>
      <c r="G8" s="8" t="s">
        <v>141</v>
      </c>
      <c r="H8" s="8" t="s">
        <v>867</v>
      </c>
      <c r="I8" s="8" t="s">
        <v>868</v>
      </c>
      <c r="J8" s="8" t="s">
        <v>870</v>
      </c>
      <c r="K8" s="8" t="s">
        <v>873</v>
      </c>
    </row>
    <row r="9">
      <c r="A9" s="9" t="s">
        <v>760</v>
      </c>
      <c r="B9" s="8" t="s">
        <v>876</v>
      </c>
      <c r="C9" s="8" t="s">
        <v>878</v>
      </c>
      <c r="D9" s="8" t="s">
        <v>141</v>
      </c>
      <c r="E9" s="8" t="s">
        <v>141</v>
      </c>
      <c r="F9" s="8" t="s">
        <v>141</v>
      </c>
      <c r="G9" s="8" t="s">
        <v>141</v>
      </c>
      <c r="H9" s="8" t="s">
        <v>881</v>
      </c>
      <c r="I9" s="8" t="s">
        <v>883</v>
      </c>
      <c r="J9" s="8" t="s">
        <v>885</v>
      </c>
      <c r="K9" s="8" t="s">
        <v>886</v>
      </c>
    </row>
    <row r="10">
      <c r="A10" s="9" t="s">
        <v>889</v>
      </c>
      <c r="B10" s="8" t="s">
        <v>891</v>
      </c>
      <c r="C10" s="8" t="s">
        <v>893</v>
      </c>
      <c r="D10" s="8" t="s">
        <v>141</v>
      </c>
      <c r="E10" s="8" t="s">
        <v>141</v>
      </c>
      <c r="F10" s="8" t="s">
        <v>141</v>
      </c>
      <c r="G10" s="8" t="s">
        <v>897</v>
      </c>
      <c r="H10" s="8" t="s">
        <v>899</v>
      </c>
      <c r="I10" s="8" t="s">
        <v>900</v>
      </c>
      <c r="J10" s="8" t="s">
        <v>903</v>
      </c>
      <c r="K10" s="8" t="s">
        <v>905</v>
      </c>
    </row>
    <row r="11">
      <c r="A11" s="9" t="s">
        <v>907</v>
      </c>
      <c r="B11" s="8" t="s">
        <v>909</v>
      </c>
      <c r="C11" s="8" t="s">
        <v>910</v>
      </c>
      <c r="D11" s="8" t="s">
        <v>141</v>
      </c>
      <c r="E11" s="8" t="s">
        <v>915</v>
      </c>
      <c r="F11" s="8" t="s">
        <v>916</v>
      </c>
      <c r="G11" s="8" t="s">
        <v>897</v>
      </c>
      <c r="H11" s="8" t="s">
        <v>918</v>
      </c>
      <c r="I11" s="8" t="s">
        <v>919</v>
      </c>
      <c r="J11" s="8" t="s">
        <v>922</v>
      </c>
      <c r="K11" s="8" t="s">
        <v>925</v>
      </c>
    </row>
    <row r="12">
      <c r="A12" s="9" t="s">
        <v>927</v>
      </c>
      <c r="B12" s="8" t="s">
        <v>929</v>
      </c>
      <c r="C12" s="8" t="s">
        <v>930</v>
      </c>
      <c r="D12" s="8" t="s">
        <v>141</v>
      </c>
      <c r="E12" s="8" t="s">
        <v>141</v>
      </c>
      <c r="F12" s="8" t="s">
        <v>141</v>
      </c>
      <c r="G12" s="8" t="s">
        <v>141</v>
      </c>
      <c r="H12" s="8" t="s">
        <v>934</v>
      </c>
      <c r="I12" s="8" t="s">
        <v>934</v>
      </c>
      <c r="J12" s="8" t="s">
        <v>936</v>
      </c>
      <c r="K12" s="8" t="s">
        <v>938</v>
      </c>
    </row>
    <row r="13">
      <c r="A13" s="9" t="s">
        <v>940</v>
      </c>
      <c r="B13" s="8" t="s">
        <v>943</v>
      </c>
      <c r="C13" s="8" t="s">
        <v>945</v>
      </c>
      <c r="D13" s="8" t="s">
        <v>141</v>
      </c>
      <c r="E13" s="8" t="s">
        <v>141</v>
      </c>
      <c r="F13" s="8" t="s">
        <v>141</v>
      </c>
      <c r="G13" s="8" t="s">
        <v>141</v>
      </c>
      <c r="H13" s="8" t="s">
        <v>934</v>
      </c>
      <c r="I13" s="8" t="s">
        <v>934</v>
      </c>
      <c r="J13" s="8" t="s">
        <v>936</v>
      </c>
      <c r="K13" s="8" t="s">
        <v>951</v>
      </c>
    </row>
    <row r="15">
      <c r="A15" s="3" t="s">
        <v>957</v>
      </c>
    </row>
    <row r="16">
      <c r="A16" s="4" t="s">
        <v>963</v>
      </c>
    </row>
    <row r="17">
      <c r="A17" s="4" t="s">
        <v>969</v>
      </c>
    </row>
    <row r="18">
      <c r="A18" s="4" t="s">
        <v>975</v>
      </c>
    </row>
    <row r="19">
      <c r="A19" s="4" t="s">
        <v>978</v>
      </c>
    </row>
    <row r="20">
      <c r="A20" s="4" t="s">
        <v>979</v>
      </c>
    </row>
    <row r="21" ht="15.75" customHeight="1"/>
    <row r="22" ht="15.75" customHeight="1">
      <c r="A22" s="3" t="s">
        <v>981</v>
      </c>
    </row>
    <row r="23" ht="15.75" customHeight="1">
      <c r="A23" s="4" t="s">
        <v>983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6:B16"/>
    <mergeCell ref="A17:B17"/>
    <mergeCell ref="A18:B18"/>
    <mergeCell ref="A19:B19"/>
    <mergeCell ref="A20:B20"/>
    <mergeCell ref="A23:B2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3" width="72.0"/>
    <col customWidth="1" min="4" max="26" width="8.71"/>
  </cols>
  <sheetData>
    <row r="1" ht="36.0" customHeight="1">
      <c r="A1" s="6" t="s">
        <v>848</v>
      </c>
      <c r="B1" s="6" t="s">
        <v>850</v>
      </c>
      <c r="C1" s="6" t="s">
        <v>854</v>
      </c>
    </row>
    <row r="2">
      <c r="A2" s="9" t="s">
        <v>858</v>
      </c>
      <c r="B2" s="8" t="s">
        <v>863</v>
      </c>
      <c r="C2" s="8" t="s">
        <v>864</v>
      </c>
    </row>
    <row r="3">
      <c r="A3" s="9" t="s">
        <v>866</v>
      </c>
      <c r="B3" s="8" t="s">
        <v>869</v>
      </c>
      <c r="C3" s="8" t="s">
        <v>871</v>
      </c>
    </row>
    <row r="4">
      <c r="A4" s="9" t="s">
        <v>875</v>
      </c>
      <c r="B4" s="8" t="s">
        <v>877</v>
      </c>
      <c r="C4" s="8" t="s">
        <v>879</v>
      </c>
    </row>
    <row r="5">
      <c r="A5" s="9" t="s">
        <v>880</v>
      </c>
      <c r="B5" s="8" t="s">
        <v>882</v>
      </c>
      <c r="C5" s="8" t="s">
        <v>884</v>
      </c>
    </row>
    <row r="6">
      <c r="A6" s="9" t="s">
        <v>887</v>
      </c>
      <c r="B6" s="8" t="s">
        <v>888</v>
      </c>
      <c r="C6" s="8" t="s">
        <v>890</v>
      </c>
    </row>
    <row r="7">
      <c r="A7" s="9" t="s">
        <v>894</v>
      </c>
      <c r="B7" s="8" t="s">
        <v>896</v>
      </c>
      <c r="C7" s="8" t="s">
        <v>898</v>
      </c>
    </row>
    <row r="8">
      <c r="A8" s="9" t="s">
        <v>902</v>
      </c>
      <c r="B8" s="8" t="s">
        <v>906</v>
      </c>
      <c r="C8" s="8" t="s">
        <v>908</v>
      </c>
    </row>
    <row r="9">
      <c r="A9" s="9" t="s">
        <v>912</v>
      </c>
      <c r="B9" s="8" t="s">
        <v>914</v>
      </c>
      <c r="C9" s="8" t="s">
        <v>917</v>
      </c>
    </row>
    <row r="10">
      <c r="A10" s="9" t="s">
        <v>920</v>
      </c>
      <c r="B10" s="8" t="s">
        <v>923</v>
      </c>
      <c r="C10" s="8" t="s">
        <v>926</v>
      </c>
    </row>
    <row r="11">
      <c r="A11" s="9" t="s">
        <v>928</v>
      </c>
      <c r="B11" s="8" t="s">
        <v>931</v>
      </c>
      <c r="C11" s="8" t="s">
        <v>932</v>
      </c>
    </row>
    <row r="12">
      <c r="A12" s="9" t="s">
        <v>933</v>
      </c>
      <c r="B12" s="8" t="s">
        <v>935</v>
      </c>
      <c r="C12" s="8" t="s">
        <v>937</v>
      </c>
    </row>
    <row r="13">
      <c r="A13" s="9" t="s">
        <v>939</v>
      </c>
      <c r="B13" s="8" t="s">
        <v>942</v>
      </c>
      <c r="C13" s="8" t="s">
        <v>944</v>
      </c>
    </row>
    <row r="14">
      <c r="A14" s="9" t="s">
        <v>947</v>
      </c>
      <c r="B14" s="8" t="s">
        <v>948</v>
      </c>
      <c r="C14" s="8" t="s">
        <v>950</v>
      </c>
    </row>
    <row r="15">
      <c r="A15" s="9" t="s">
        <v>952</v>
      </c>
      <c r="B15" s="8" t="s">
        <v>954</v>
      </c>
      <c r="C15" s="8" t="s">
        <v>955</v>
      </c>
    </row>
    <row r="16">
      <c r="A16" s="9" t="s">
        <v>959</v>
      </c>
      <c r="B16" s="8" t="s">
        <v>961</v>
      </c>
      <c r="C16" s="8" t="s">
        <v>962</v>
      </c>
    </row>
    <row r="17">
      <c r="A17" s="9" t="s">
        <v>964</v>
      </c>
      <c r="B17" s="8" t="s">
        <v>966</v>
      </c>
      <c r="C17" s="8" t="s">
        <v>968</v>
      </c>
    </row>
    <row r="18">
      <c r="A18" s="9" t="s">
        <v>39</v>
      </c>
      <c r="B18" s="8" t="s">
        <v>970</v>
      </c>
      <c r="C18" s="8" t="s">
        <v>972</v>
      </c>
    </row>
    <row r="19">
      <c r="A19" s="9" t="s">
        <v>974</v>
      </c>
      <c r="B19" s="8" t="s">
        <v>976</v>
      </c>
      <c r="C19" s="8" t="s">
        <v>977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04.0"/>
    <col customWidth="1" min="3" max="26" width="8.71"/>
  </cols>
  <sheetData>
    <row r="1">
      <c r="A1" s="12" t="s">
        <v>1075</v>
      </c>
    </row>
    <row r="2">
      <c r="A2" s="2" t="s">
        <v>1078</v>
      </c>
    </row>
    <row r="4">
      <c r="A4" s="5" t="s">
        <v>1079</v>
      </c>
      <c r="B4" s="4" t="s">
        <v>1080</v>
      </c>
    </row>
    <row r="5">
      <c r="A5" s="5" t="s">
        <v>1081</v>
      </c>
      <c r="B5" s="4" t="s">
        <v>1082</v>
      </c>
    </row>
    <row r="6">
      <c r="A6" s="5" t="s">
        <v>1085</v>
      </c>
      <c r="B6" s="4" t="s">
        <v>1086</v>
      </c>
    </row>
    <row r="7">
      <c r="A7" s="5" t="s">
        <v>1087</v>
      </c>
      <c r="B7" s="4" t="s">
        <v>1089</v>
      </c>
    </row>
    <row r="8">
      <c r="A8" s="5" t="s">
        <v>1091</v>
      </c>
      <c r="B8" s="4" t="s">
        <v>1092</v>
      </c>
    </row>
    <row r="9">
      <c r="A9" s="5" t="s">
        <v>1095</v>
      </c>
      <c r="B9" s="4" t="s">
        <v>1096</v>
      </c>
    </row>
    <row r="10">
      <c r="A10" s="5" t="s">
        <v>1098</v>
      </c>
      <c r="B10" s="4" t="s">
        <v>1099</v>
      </c>
    </row>
    <row r="11">
      <c r="A11" s="5" t="s">
        <v>1100</v>
      </c>
      <c r="B11" s="4" t="s">
        <v>1101</v>
      </c>
    </row>
    <row r="12">
      <c r="A12" s="5" t="s">
        <v>1102</v>
      </c>
      <c r="B12" s="4" t="s">
        <v>1103</v>
      </c>
    </row>
    <row r="13">
      <c r="A13" s="5" t="s">
        <v>1105</v>
      </c>
      <c r="B13" s="4" t="s">
        <v>1106</v>
      </c>
    </row>
    <row r="14">
      <c r="A14" s="5" t="s">
        <v>1107</v>
      </c>
      <c r="B14" s="4" t="s">
        <v>1109</v>
      </c>
    </row>
    <row r="15">
      <c r="A15" s="5" t="s">
        <v>1111</v>
      </c>
      <c r="B15" s="4" t="s">
        <v>1113</v>
      </c>
    </row>
    <row r="16">
      <c r="A16" s="5" t="s">
        <v>1115</v>
      </c>
      <c r="B16" s="4" t="s">
        <v>1116</v>
      </c>
    </row>
    <row r="17">
      <c r="A17" s="5" t="s">
        <v>1118</v>
      </c>
      <c r="B17" s="4" t="s">
        <v>1120</v>
      </c>
    </row>
    <row r="18">
      <c r="A18" s="5" t="s">
        <v>1121</v>
      </c>
      <c r="B18" s="4" t="s">
        <v>1122</v>
      </c>
    </row>
    <row r="19">
      <c r="A19" s="5" t="s">
        <v>1123</v>
      </c>
      <c r="B19" s="4" t="s">
        <v>1124</v>
      </c>
    </row>
    <row r="21" ht="15.75" customHeight="1">
      <c r="A21" s="15" t="s">
        <v>1127</v>
      </c>
      <c r="B21" s="16" t="s">
        <v>1131</v>
      </c>
    </row>
    <row r="22" ht="15.75" customHeight="1">
      <c r="A22" s="15" t="s">
        <v>1137</v>
      </c>
      <c r="B22" s="16" t="s">
        <v>1138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08.0"/>
    <col customWidth="1" min="3" max="26" width="8.71"/>
  </cols>
  <sheetData>
    <row r="1">
      <c r="A1" s="12" t="s">
        <v>1125</v>
      </c>
    </row>
    <row r="2">
      <c r="A2" s="2" t="s">
        <v>1128</v>
      </c>
    </row>
    <row r="4">
      <c r="A4" s="3" t="s">
        <v>1130</v>
      </c>
    </row>
    <row r="5">
      <c r="A5" s="4" t="s">
        <v>1135</v>
      </c>
    </row>
    <row r="7">
      <c r="A7" s="3" t="s">
        <v>1139</v>
      </c>
    </row>
    <row r="8">
      <c r="A8" s="5" t="s">
        <v>1140</v>
      </c>
      <c r="B8" s="4" t="s">
        <v>1141</v>
      </c>
    </row>
    <row r="9">
      <c r="A9" s="5" t="s">
        <v>1142</v>
      </c>
      <c r="B9" s="4" t="s">
        <v>1143</v>
      </c>
    </row>
    <row r="10">
      <c r="A10" s="5" t="s">
        <v>1144</v>
      </c>
      <c r="B10" s="4" t="s">
        <v>1145</v>
      </c>
    </row>
    <row r="11">
      <c r="A11" s="5" t="s">
        <v>1146</v>
      </c>
      <c r="B11" s="4" t="s">
        <v>1149</v>
      </c>
    </row>
    <row r="12">
      <c r="A12" s="5" t="s">
        <v>1150</v>
      </c>
      <c r="B12" s="4" t="s">
        <v>1151</v>
      </c>
    </row>
    <row r="13">
      <c r="A13" s="5" t="s">
        <v>1152</v>
      </c>
      <c r="B13" s="4" t="s">
        <v>1154</v>
      </c>
    </row>
    <row r="15">
      <c r="A15" s="3" t="s">
        <v>1155</v>
      </c>
    </row>
    <row r="16">
      <c r="A16" s="5" t="s">
        <v>1156</v>
      </c>
      <c r="B16" s="4" t="s">
        <v>1157</v>
      </c>
    </row>
    <row r="17">
      <c r="A17" s="5" t="s">
        <v>1159</v>
      </c>
      <c r="B17" s="4" t="s">
        <v>1161</v>
      </c>
    </row>
    <row r="18">
      <c r="A18" s="5" t="s">
        <v>1162</v>
      </c>
      <c r="B18" s="4" t="s">
        <v>1164</v>
      </c>
    </row>
    <row r="19">
      <c r="A19" s="5" t="s">
        <v>1165</v>
      </c>
      <c r="B19" s="4" t="s">
        <v>1167</v>
      </c>
    </row>
    <row r="20">
      <c r="A20" s="5" t="s">
        <v>1169</v>
      </c>
      <c r="B20" s="4" t="s">
        <v>1170</v>
      </c>
    </row>
    <row r="21" ht="15.75" customHeight="1"/>
    <row r="22" ht="15.75" customHeight="1">
      <c r="A22" s="3" t="s">
        <v>1171</v>
      </c>
    </row>
    <row r="23" ht="15.75" customHeight="1">
      <c r="A23" s="5" t="s">
        <v>1174</v>
      </c>
      <c r="B23" s="4" t="s">
        <v>1175</v>
      </c>
    </row>
    <row r="24" ht="15.75" customHeight="1">
      <c r="A24" s="5" t="s">
        <v>1176</v>
      </c>
      <c r="B24" s="4" t="s">
        <v>1177</v>
      </c>
    </row>
    <row r="25" ht="15.75" customHeight="1">
      <c r="A25" s="5" t="s">
        <v>1178</v>
      </c>
      <c r="B25" s="4" t="s">
        <v>1179</v>
      </c>
    </row>
    <row r="26" ht="15.75" customHeight="1">
      <c r="A26" s="5" t="s">
        <v>1180</v>
      </c>
      <c r="B26" s="4" t="s">
        <v>1181</v>
      </c>
    </row>
    <row r="27" ht="15.75" customHeight="1">
      <c r="A27" s="5" t="s">
        <v>1184</v>
      </c>
      <c r="B27" s="4" t="s">
        <v>1185</v>
      </c>
    </row>
    <row r="28" ht="15.75" customHeight="1">
      <c r="A28" s="5" t="s">
        <v>1186</v>
      </c>
      <c r="B28" s="4" t="s">
        <v>1188</v>
      </c>
    </row>
    <row r="29" ht="15.75" customHeight="1">
      <c r="A29" s="5" t="s">
        <v>1189</v>
      </c>
      <c r="B29" s="4" t="s">
        <v>1190</v>
      </c>
    </row>
    <row r="30" ht="15.75" customHeight="1">
      <c r="A30" s="5" t="s">
        <v>1193</v>
      </c>
      <c r="B30" s="4" t="s">
        <v>1194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4.0"/>
    <col customWidth="1" min="3" max="3" width="60.0"/>
    <col customWidth="1" min="4" max="4" width="10.0"/>
    <col customWidth="1" min="5" max="5" width="90.0"/>
    <col customWidth="1" min="6" max="26" width="8.71"/>
  </cols>
  <sheetData>
    <row r="1">
      <c r="A1" s="12" t="s">
        <v>1279</v>
      </c>
    </row>
    <row r="2">
      <c r="A2" s="2" t="s">
        <v>1283</v>
      </c>
    </row>
    <row r="4" ht="36.0" customHeight="1">
      <c r="A4" s="6" t="s">
        <v>1286</v>
      </c>
      <c r="B4" s="6" t="s">
        <v>1288</v>
      </c>
      <c r="C4" s="6" t="s">
        <v>1290</v>
      </c>
      <c r="D4" s="6" t="s">
        <v>1291</v>
      </c>
      <c r="E4" s="6" t="s">
        <v>1294</v>
      </c>
    </row>
    <row r="5">
      <c r="A5" s="9" t="s">
        <v>157</v>
      </c>
      <c r="B5" s="8" t="s">
        <v>158</v>
      </c>
      <c r="C5" s="8" t="s">
        <v>1297</v>
      </c>
      <c r="D5" s="8">
        <v>26.0</v>
      </c>
      <c r="E5" s="8" t="s">
        <v>1299</v>
      </c>
    </row>
    <row r="6">
      <c r="A6" s="9" t="s">
        <v>750</v>
      </c>
      <c r="B6" s="8" t="s">
        <v>751</v>
      </c>
      <c r="C6" s="8" t="s">
        <v>1300</v>
      </c>
      <c r="D6" s="8">
        <v>15.0</v>
      </c>
      <c r="E6" s="8" t="s">
        <v>1301</v>
      </c>
    </row>
    <row r="7">
      <c r="A7" s="9" t="s">
        <v>1302</v>
      </c>
      <c r="B7" s="8" t="s">
        <v>1304</v>
      </c>
      <c r="C7" s="8" t="s">
        <v>1305</v>
      </c>
      <c r="D7" s="8">
        <v>11.0</v>
      </c>
      <c r="E7" s="8" t="s">
        <v>1306</v>
      </c>
    </row>
    <row r="8">
      <c r="A8" s="9" t="s">
        <v>336</v>
      </c>
      <c r="B8" s="8" t="s">
        <v>337</v>
      </c>
      <c r="C8" s="8" t="s">
        <v>338</v>
      </c>
      <c r="D8" s="8">
        <v>2.0</v>
      </c>
      <c r="E8" s="8" t="s">
        <v>1311</v>
      </c>
    </row>
    <row r="9">
      <c r="A9" s="9" t="s">
        <v>1312</v>
      </c>
      <c r="B9" s="8" t="s">
        <v>1313</v>
      </c>
      <c r="C9" s="8" t="s">
        <v>1314</v>
      </c>
      <c r="D9" s="8">
        <v>19.0</v>
      </c>
      <c r="E9" s="8" t="s">
        <v>1316</v>
      </c>
    </row>
    <row r="10">
      <c r="A10" s="9" t="s">
        <v>785</v>
      </c>
      <c r="B10" s="8" t="s">
        <v>786</v>
      </c>
      <c r="C10" s="8" t="s">
        <v>787</v>
      </c>
      <c r="D10" s="8">
        <v>3.0</v>
      </c>
      <c r="E10" s="8" t="s">
        <v>1317</v>
      </c>
    </row>
    <row r="11">
      <c r="A11" s="9" t="s">
        <v>252</v>
      </c>
      <c r="B11" s="8" t="s">
        <v>181</v>
      </c>
      <c r="C11" s="8" t="s">
        <v>253</v>
      </c>
      <c r="D11" s="8">
        <v>39.0</v>
      </c>
      <c r="E11" s="8" t="s">
        <v>1320</v>
      </c>
    </row>
    <row r="12">
      <c r="A12" s="9" t="s">
        <v>180</v>
      </c>
      <c r="B12" s="8" t="s">
        <v>181</v>
      </c>
      <c r="C12" s="8" t="s">
        <v>182</v>
      </c>
      <c r="D12" s="8">
        <v>95.0</v>
      </c>
      <c r="E12" s="8" t="s">
        <v>1326</v>
      </c>
    </row>
    <row r="14">
      <c r="A14" s="3" t="s">
        <v>1328</v>
      </c>
    </row>
    <row r="15">
      <c r="A15" s="4" t="s">
        <v>1329</v>
      </c>
    </row>
    <row r="16">
      <c r="A16" s="4" t="s">
        <v>1332</v>
      </c>
    </row>
    <row r="17">
      <c r="A17" s="4" t="s">
        <v>1333</v>
      </c>
    </row>
    <row r="18">
      <c r="A18" s="4" t="s">
        <v>1335</v>
      </c>
    </row>
    <row r="19">
      <c r="A19" s="4" t="s">
        <v>1336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5:B15"/>
    <mergeCell ref="A16:B16"/>
    <mergeCell ref="A17:B17"/>
    <mergeCell ref="A18:B18"/>
    <mergeCell ref="A19:B1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8.0"/>
    <col customWidth="1" min="3" max="4" width="80.0"/>
    <col customWidth="1" min="5" max="26" width="8.71"/>
  </cols>
  <sheetData>
    <row r="1">
      <c r="A1" s="12" t="s">
        <v>1423</v>
      </c>
    </row>
    <row r="2">
      <c r="A2" s="2" t="s">
        <v>1425</v>
      </c>
    </row>
    <row r="4" ht="36.0" customHeight="1">
      <c r="A4" s="6" t="s">
        <v>1427</v>
      </c>
      <c r="B4" s="6" t="s">
        <v>1428</v>
      </c>
      <c r="C4" s="6" t="s">
        <v>1429</v>
      </c>
      <c r="D4" s="6" t="s">
        <v>1431</v>
      </c>
    </row>
    <row r="5">
      <c r="A5" s="9" t="s">
        <v>1432</v>
      </c>
      <c r="B5" s="8">
        <v>7.0</v>
      </c>
      <c r="C5" s="8" t="s">
        <v>1433</v>
      </c>
      <c r="D5" s="8" t="s">
        <v>1434</v>
      </c>
    </row>
    <row r="6">
      <c r="A6" s="9" t="s">
        <v>1436</v>
      </c>
      <c r="B6" s="8">
        <v>6.0</v>
      </c>
      <c r="C6" s="8" t="s">
        <v>1437</v>
      </c>
      <c r="D6" s="8" t="s">
        <v>1439</v>
      </c>
    </row>
    <row r="7">
      <c r="A7" s="9" t="s">
        <v>1440</v>
      </c>
      <c r="B7" s="8">
        <v>4.0</v>
      </c>
      <c r="C7" s="8" t="s">
        <v>1442</v>
      </c>
      <c r="D7" s="8" t="s">
        <v>1443</v>
      </c>
    </row>
    <row r="8">
      <c r="A8" s="9" t="s">
        <v>1444</v>
      </c>
      <c r="B8" s="8">
        <v>2.0</v>
      </c>
      <c r="C8" s="8" t="s">
        <v>1445</v>
      </c>
      <c r="D8" s="8" t="s">
        <v>1447</v>
      </c>
    </row>
    <row r="9">
      <c r="A9" s="9" t="s">
        <v>1448</v>
      </c>
      <c r="B9" s="8">
        <v>1.0</v>
      </c>
      <c r="C9" s="8" t="s">
        <v>1449</v>
      </c>
      <c r="D9" s="8" t="s">
        <v>1450</v>
      </c>
    </row>
    <row r="10">
      <c r="A10" s="9" t="s">
        <v>1451</v>
      </c>
      <c r="B10" s="8">
        <v>3.0</v>
      </c>
      <c r="C10" s="8" t="s">
        <v>1452</v>
      </c>
      <c r="D10" s="8" t="s">
        <v>1453</v>
      </c>
    </row>
    <row r="11">
      <c r="A11" s="9" t="s">
        <v>486</v>
      </c>
      <c r="B11" s="8">
        <v>8.0</v>
      </c>
      <c r="C11" s="8" t="s">
        <v>1455</v>
      </c>
      <c r="D11" s="8" t="s">
        <v>1456</v>
      </c>
    </row>
    <row r="12">
      <c r="A12" s="9" t="s">
        <v>634</v>
      </c>
      <c r="B12" s="8">
        <v>3.0</v>
      </c>
      <c r="C12" s="8" t="s">
        <v>1458</v>
      </c>
      <c r="D12" s="8" t="s">
        <v>1459</v>
      </c>
    </row>
    <row r="13">
      <c r="A13" s="9" t="s">
        <v>821</v>
      </c>
      <c r="B13" s="8">
        <v>3.0</v>
      </c>
      <c r="C13" s="8" t="s">
        <v>1461</v>
      </c>
      <c r="D13" s="8" t="s">
        <v>1462</v>
      </c>
    </row>
    <row r="14">
      <c r="A14" s="9" t="s">
        <v>736</v>
      </c>
      <c r="B14" s="8">
        <v>6.0</v>
      </c>
      <c r="C14" s="8" t="s">
        <v>1465</v>
      </c>
      <c r="D14" s="8" t="s">
        <v>1466</v>
      </c>
    </row>
    <row r="15">
      <c r="A15" s="9" t="s">
        <v>213</v>
      </c>
      <c r="B15" s="8">
        <v>15.0</v>
      </c>
      <c r="C15" s="8" t="s">
        <v>1467</v>
      </c>
      <c r="D15" s="8" t="s">
        <v>1468</v>
      </c>
    </row>
    <row r="16">
      <c r="A16" s="9" t="s">
        <v>754</v>
      </c>
      <c r="B16" s="8">
        <v>2.0</v>
      </c>
      <c r="C16" s="8" t="s">
        <v>1469</v>
      </c>
      <c r="D16" s="8" t="s">
        <v>1470</v>
      </c>
    </row>
    <row r="17">
      <c r="A17" s="9" t="s">
        <v>199</v>
      </c>
      <c r="B17" s="8">
        <v>3.0</v>
      </c>
      <c r="C17" s="8" t="s">
        <v>1472</v>
      </c>
      <c r="D17" s="8" t="s">
        <v>1474</v>
      </c>
    </row>
    <row r="18">
      <c r="A18" s="9" t="s">
        <v>1475</v>
      </c>
      <c r="B18" s="8">
        <v>2.0</v>
      </c>
      <c r="C18" s="8" t="s">
        <v>1477</v>
      </c>
      <c r="D18" s="8" t="s">
        <v>1479</v>
      </c>
    </row>
    <row r="19">
      <c r="A19" s="9" t="s">
        <v>1480</v>
      </c>
      <c r="B19" s="8">
        <v>5.0</v>
      </c>
      <c r="C19" s="8" t="s">
        <v>1482</v>
      </c>
      <c r="D19" s="8" t="s">
        <v>1483</v>
      </c>
    </row>
    <row r="20">
      <c r="A20" s="9" t="s">
        <v>1484</v>
      </c>
      <c r="B20" s="8">
        <v>2.0</v>
      </c>
      <c r="C20" s="8" t="s">
        <v>1485</v>
      </c>
      <c r="D20" s="8" t="s">
        <v>1486</v>
      </c>
    </row>
    <row r="21" ht="15.75" customHeight="1">
      <c r="A21" s="9" t="s">
        <v>1487</v>
      </c>
      <c r="B21" s="8">
        <v>3.0</v>
      </c>
      <c r="C21" s="8" t="s">
        <v>1488</v>
      </c>
      <c r="D21" s="8" t="s">
        <v>1489</v>
      </c>
    </row>
    <row r="22" ht="15.75" customHeight="1">
      <c r="A22" s="9" t="s">
        <v>1490</v>
      </c>
      <c r="B22" s="8">
        <v>4.0</v>
      </c>
      <c r="C22" s="8" t="s">
        <v>1491</v>
      </c>
      <c r="D22" s="8" t="s">
        <v>1492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2.0"/>
    <col customWidth="1" min="3" max="3" width="44.0"/>
    <col customWidth="1" min="4" max="4" width="32.0"/>
    <col customWidth="1" min="5" max="5" width="12.0"/>
    <col customWidth="1" min="6" max="6" width="44.0"/>
    <col customWidth="1" min="7" max="26" width="8.71"/>
  </cols>
  <sheetData>
    <row r="1">
      <c r="A1" s="12" t="s">
        <v>1562</v>
      </c>
    </row>
    <row r="2">
      <c r="A2" s="2" t="s">
        <v>1565</v>
      </c>
    </row>
    <row r="4" ht="36.0" customHeight="1">
      <c r="A4" s="6" t="s">
        <v>107</v>
      </c>
      <c r="B4" s="6" t="s">
        <v>1574</v>
      </c>
      <c r="C4" s="6" t="s">
        <v>1577</v>
      </c>
      <c r="D4" s="6" t="s">
        <v>1579</v>
      </c>
      <c r="E4" s="6" t="s">
        <v>1581</v>
      </c>
      <c r="F4" s="6" t="s">
        <v>1582</v>
      </c>
    </row>
    <row r="5">
      <c r="A5" s="9" t="s">
        <v>1583</v>
      </c>
      <c r="B5" s="8">
        <v>250.0</v>
      </c>
      <c r="C5" s="8" t="s">
        <v>1584</v>
      </c>
      <c r="D5" s="8" t="s">
        <v>1585</v>
      </c>
      <c r="E5" s="8"/>
      <c r="F5" s="8" t="s">
        <v>1586</v>
      </c>
    </row>
    <row r="6">
      <c r="A6" s="9" t="s">
        <v>1587</v>
      </c>
      <c r="B6" s="8">
        <v>200.0</v>
      </c>
      <c r="C6" s="8" t="s">
        <v>1588</v>
      </c>
      <c r="D6" s="8" t="s">
        <v>1589</v>
      </c>
      <c r="E6" s="8">
        <v>200.0</v>
      </c>
      <c r="F6" s="8" t="s">
        <v>1590</v>
      </c>
    </row>
    <row r="7">
      <c r="A7" s="9" t="s">
        <v>1591</v>
      </c>
      <c r="B7" s="8">
        <v>250.0</v>
      </c>
      <c r="C7" s="8" t="s">
        <v>1592</v>
      </c>
      <c r="D7" s="8" t="s">
        <v>1593</v>
      </c>
      <c r="E7" s="8">
        <v>250.0</v>
      </c>
      <c r="F7" s="8" t="s">
        <v>1594</v>
      </c>
    </row>
    <row r="8">
      <c r="A8" s="9" t="s">
        <v>1596</v>
      </c>
      <c r="B8" s="8">
        <v>90.0</v>
      </c>
      <c r="C8" s="8" t="s">
        <v>1597</v>
      </c>
      <c r="D8" s="8" t="s">
        <v>1593</v>
      </c>
      <c r="E8" s="8">
        <v>90.0</v>
      </c>
      <c r="F8" s="8" t="s">
        <v>1598</v>
      </c>
    </row>
    <row r="9">
      <c r="A9" s="9" t="s">
        <v>1600</v>
      </c>
      <c r="B9" s="8">
        <v>15.0</v>
      </c>
      <c r="C9" s="8" t="s">
        <v>1601</v>
      </c>
      <c r="D9" s="8" t="s">
        <v>1593</v>
      </c>
      <c r="E9" s="8">
        <v>15.0</v>
      </c>
      <c r="F9" s="8" t="s">
        <v>1602</v>
      </c>
    </row>
    <row r="10">
      <c r="A10" s="9" t="s">
        <v>1603</v>
      </c>
      <c r="B10" s="8">
        <v>25.0</v>
      </c>
      <c r="C10" s="8" t="s">
        <v>1604</v>
      </c>
      <c r="D10" s="8" t="s">
        <v>1585</v>
      </c>
      <c r="E10" s="8"/>
      <c r="F10" s="8" t="s">
        <v>1605</v>
      </c>
    </row>
    <row r="11">
      <c r="A11" s="9" t="s">
        <v>1606</v>
      </c>
      <c r="B11" s="8">
        <v>90.0</v>
      </c>
      <c r="C11" s="8" t="s">
        <v>1607</v>
      </c>
      <c r="D11" s="8" t="s">
        <v>1608</v>
      </c>
      <c r="E11" s="8"/>
      <c r="F11" s="8" t="s">
        <v>1609</v>
      </c>
    </row>
    <row r="12">
      <c r="A12" s="9" t="s">
        <v>1610</v>
      </c>
      <c r="B12" s="8">
        <v>22.0</v>
      </c>
      <c r="C12" s="8" t="s">
        <v>1611</v>
      </c>
      <c r="D12" s="8" t="s">
        <v>912</v>
      </c>
      <c r="E12" s="8">
        <v>22.0</v>
      </c>
      <c r="F12" s="8" t="s">
        <v>1613</v>
      </c>
    </row>
    <row r="13">
      <c r="A13" s="9" t="s">
        <v>1615</v>
      </c>
      <c r="B13" s="8">
        <v>40.0</v>
      </c>
      <c r="C13" s="8" t="s">
        <v>1616</v>
      </c>
      <c r="D13" s="8" t="s">
        <v>912</v>
      </c>
      <c r="E13" s="8">
        <v>40.0</v>
      </c>
      <c r="F13" s="8" t="s">
        <v>1618</v>
      </c>
    </row>
    <row r="14">
      <c r="A14" s="9" t="s">
        <v>1619</v>
      </c>
      <c r="B14" s="8">
        <v>20.0</v>
      </c>
      <c r="C14" s="8" t="s">
        <v>1621</v>
      </c>
      <c r="D14" s="8" t="s">
        <v>912</v>
      </c>
      <c r="E14" s="8">
        <v>20.0</v>
      </c>
      <c r="F14" s="8" t="s">
        <v>1622</v>
      </c>
    </row>
    <row r="15">
      <c r="A15" s="9" t="s">
        <v>1623</v>
      </c>
      <c r="B15" s="8">
        <v>60.0</v>
      </c>
      <c r="C15" s="8" t="s">
        <v>1624</v>
      </c>
      <c r="D15" s="8" t="s">
        <v>920</v>
      </c>
      <c r="E15" s="8">
        <v>60.0</v>
      </c>
      <c r="F15" s="8" t="s">
        <v>1625</v>
      </c>
    </row>
    <row r="16">
      <c r="A16" s="9" t="s">
        <v>1626</v>
      </c>
      <c r="B16" s="8">
        <v>25.0</v>
      </c>
      <c r="C16" s="8" t="s">
        <v>1627</v>
      </c>
      <c r="D16" s="8" t="s">
        <v>1589</v>
      </c>
      <c r="E16" s="8">
        <v>25.0</v>
      </c>
      <c r="F16" s="8" t="s">
        <v>1628</v>
      </c>
    </row>
    <row r="17">
      <c r="A17" s="9" t="s">
        <v>1629</v>
      </c>
      <c r="B17" s="8">
        <v>45.0</v>
      </c>
      <c r="C17" s="8" t="s">
        <v>1630</v>
      </c>
      <c r="D17" s="8" t="s">
        <v>1589</v>
      </c>
      <c r="E17" s="8">
        <v>45.0</v>
      </c>
      <c r="F17" s="8" t="s">
        <v>1631</v>
      </c>
    </row>
    <row r="18">
      <c r="A18" s="9" t="s">
        <v>1632</v>
      </c>
      <c r="B18" s="8">
        <v>40.0</v>
      </c>
      <c r="C18" s="8"/>
      <c r="D18" s="8" t="s">
        <v>1585</v>
      </c>
      <c r="E18" s="8"/>
      <c r="F18" s="8" t="s">
        <v>1634</v>
      </c>
    </row>
    <row r="19">
      <c r="A19" s="9" t="s">
        <v>1635</v>
      </c>
      <c r="B19" s="8">
        <v>20.0</v>
      </c>
      <c r="C19" s="8"/>
      <c r="D19" s="8" t="s">
        <v>1585</v>
      </c>
      <c r="E19" s="8"/>
      <c r="F19" s="8" t="s">
        <v>1636</v>
      </c>
    </row>
    <row r="20">
      <c r="A20" s="9" t="s">
        <v>1637</v>
      </c>
      <c r="B20" s="8">
        <v>150.0</v>
      </c>
      <c r="C20" s="8" t="s">
        <v>1638</v>
      </c>
      <c r="D20" s="8" t="s">
        <v>1608</v>
      </c>
      <c r="E20" s="8"/>
      <c r="F20" s="8" t="s">
        <v>1639</v>
      </c>
    </row>
    <row r="21" ht="15.75" customHeight="1">
      <c r="A21" s="9" t="s">
        <v>1640</v>
      </c>
      <c r="B21" s="8">
        <v>0.0</v>
      </c>
      <c r="C21" s="8" t="s">
        <v>1641</v>
      </c>
      <c r="D21" s="8" t="s">
        <v>1643</v>
      </c>
      <c r="E21" s="8"/>
      <c r="F21" s="8" t="s">
        <v>1644</v>
      </c>
    </row>
    <row r="22" ht="15.75" customHeight="1">
      <c r="A22" s="9" t="s">
        <v>1645</v>
      </c>
      <c r="B22" s="8">
        <v>80.0</v>
      </c>
      <c r="C22" s="8" t="s">
        <v>1647</v>
      </c>
      <c r="D22" s="8" t="s">
        <v>1648</v>
      </c>
      <c r="E22" s="8"/>
      <c r="F22" s="8" t="s">
        <v>1649</v>
      </c>
    </row>
    <row r="23" ht="15.75" customHeight="1">
      <c r="A23" s="9" t="s">
        <v>447</v>
      </c>
      <c r="B23" s="8">
        <v>0.0</v>
      </c>
      <c r="C23" s="8" t="s">
        <v>1650</v>
      </c>
      <c r="D23" s="8" t="s">
        <v>1643</v>
      </c>
      <c r="E23" s="8"/>
      <c r="F23" s="8" t="s">
        <v>1651</v>
      </c>
    </row>
    <row r="24" ht="15.75" customHeight="1">
      <c r="A24" s="9" t="s">
        <v>1652</v>
      </c>
      <c r="B24" s="8">
        <v>0.0</v>
      </c>
      <c r="C24" s="8" t="s">
        <v>1653</v>
      </c>
      <c r="D24" s="8" t="s">
        <v>1643</v>
      </c>
      <c r="E24" s="8"/>
      <c r="F24" s="8" t="s">
        <v>1654</v>
      </c>
    </row>
    <row r="25" ht="15.75" customHeight="1">
      <c r="A25" s="9" t="s">
        <v>1655</v>
      </c>
      <c r="B25" s="8">
        <v>6.0</v>
      </c>
      <c r="C25" s="8"/>
      <c r="D25" s="8" t="s">
        <v>1657</v>
      </c>
      <c r="E25" s="8"/>
      <c r="F25" s="8"/>
    </row>
    <row r="26" ht="15.75" customHeight="1"/>
    <row r="27" ht="15.75" customHeight="1">
      <c r="A27" s="15" t="s">
        <v>1658</v>
      </c>
      <c r="B27" s="15">
        <f>COUNTA(A5:A25)</f>
        <v>21</v>
      </c>
      <c r="C27" s="20">
        <f>SUM(B5:B25)</f>
        <v>1428</v>
      </c>
    </row>
    <row r="28" ht="15.75" customHeight="1">
      <c r="A28" s="15" t="s">
        <v>1672</v>
      </c>
      <c r="B28" s="15">
        <f>COUNTIF(D5:D25,"Tier 2*")</f>
        <v>10</v>
      </c>
      <c r="C28" s="20">
        <f>SUM(E5:E25)</f>
        <v>767</v>
      </c>
    </row>
    <row r="29" ht="15.75" customHeight="1">
      <c r="A29" s="15" t="s">
        <v>1681</v>
      </c>
      <c r="B29" s="15">
        <f>COUNTIF(D5:D25,"Tier 1*")</f>
        <v>4</v>
      </c>
    </row>
    <row r="30" ht="15.75" customHeight="1">
      <c r="A30" s="15" t="s">
        <v>1686</v>
      </c>
      <c r="B30" s="15">
        <f>COUNTIF(D5:D25,"Tier 3, can*")</f>
        <v>2</v>
      </c>
    </row>
    <row r="31" ht="15.75" customHeight="1">
      <c r="A31" s="15" t="s">
        <v>1689</v>
      </c>
      <c r="B31" s="15">
        <f>COUNTIF(D5:D25,"Tier 3, keep")</f>
        <v>4</v>
      </c>
    </row>
    <row r="32" ht="15.75" customHeight="1"/>
    <row r="33" ht="15.75" customHeight="1">
      <c r="A33" s="3" t="s">
        <v>1694</v>
      </c>
    </row>
    <row r="34" ht="15.75" customHeight="1">
      <c r="A34" s="4" t="s">
        <v>1696</v>
      </c>
    </row>
    <row r="35" ht="15.75" customHeight="1">
      <c r="A35" s="4" t="s">
        <v>1701</v>
      </c>
    </row>
    <row r="36" ht="15.75" customHeight="1">
      <c r="A36" s="4" t="s">
        <v>1704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4:B34"/>
    <mergeCell ref="A35:B35"/>
    <mergeCell ref="A36:B3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7" width="18.0"/>
    <col customWidth="1" min="8" max="26" width="8.71"/>
  </cols>
  <sheetData>
    <row r="1">
      <c r="A1" s="12" t="s">
        <v>1564</v>
      </c>
    </row>
    <row r="3">
      <c r="A3" s="6" t="s">
        <v>1566</v>
      </c>
      <c r="B3" s="6" t="s">
        <v>1569</v>
      </c>
      <c r="C3" s="6" t="s">
        <v>1571</v>
      </c>
      <c r="D3" s="6" t="s">
        <v>1573</v>
      </c>
    </row>
    <row r="4">
      <c r="A4" s="17" t="s">
        <v>1578</v>
      </c>
      <c r="B4" s="17">
        <f>COUNTIF(Items!$S$2:$S$211,"1")</f>
        <v>81</v>
      </c>
      <c r="C4" s="18">
        <f t="shared" ref="C4:C7" si="1">IF($B$8=0,0,B4/$B$8)</f>
        <v>0.3857142857</v>
      </c>
      <c r="D4" s="19">
        <f>SUMIF(Items!$S$2:$S$211,"1",Items!$F$2:$F$211)</f>
        <v>1391</v>
      </c>
    </row>
    <row r="5">
      <c r="A5" s="17" t="s">
        <v>1599</v>
      </c>
      <c r="B5" s="17">
        <f>COUNTIF(Items!$S$2:$S$211,"2")</f>
        <v>47</v>
      </c>
      <c r="C5" s="18">
        <f t="shared" si="1"/>
        <v>0.2238095238</v>
      </c>
      <c r="D5" s="19">
        <f>SUMIF(Items!$S$2:$S$211,"2",Items!$F$2:$F$211)</f>
        <v>2200</v>
      </c>
    </row>
    <row r="6">
      <c r="A6" s="17" t="s">
        <v>1617</v>
      </c>
      <c r="B6" s="17">
        <f>COUNTIF(Items!$S$2:$S$211,"3")</f>
        <v>73</v>
      </c>
      <c r="C6" s="18">
        <f t="shared" si="1"/>
        <v>0.3476190476</v>
      </c>
      <c r="D6" s="19">
        <f>SUMIF(Items!$S$2:$S$211,"3",Items!$F$2:$F$211)</f>
        <v>3964</v>
      </c>
    </row>
    <row r="7">
      <c r="A7" s="17" t="s">
        <v>1633</v>
      </c>
      <c r="B7" s="17">
        <f>COUNTIF(Items!$S$2:$S$211,"P")</f>
        <v>9</v>
      </c>
      <c r="C7" s="18">
        <f t="shared" si="1"/>
        <v>0.04285714286</v>
      </c>
      <c r="D7" s="19">
        <f>SUMIF(Items!$S$2:$S$211,"P",Items!$F$2:$F$211)</f>
        <v>1298</v>
      </c>
    </row>
    <row r="8">
      <c r="A8" s="15" t="s">
        <v>1660</v>
      </c>
      <c r="B8" s="15">
        <f>SUM(B4:B7)</f>
        <v>210</v>
      </c>
      <c r="D8" s="20">
        <f>SUM(D4:D7)</f>
        <v>8853</v>
      </c>
    </row>
    <row r="10">
      <c r="A10" s="6" t="s">
        <v>121</v>
      </c>
      <c r="B10" s="6" t="s">
        <v>1569</v>
      </c>
    </row>
    <row r="11">
      <c r="A11" s="17" t="s">
        <v>148</v>
      </c>
      <c r="B11" s="17">
        <f>COUNTIF(Items!$U$2:$U$211,"1")</f>
        <v>16</v>
      </c>
    </row>
    <row r="12">
      <c r="A12" s="17" t="s">
        <v>265</v>
      </c>
      <c r="B12" s="17">
        <f>COUNTIF(Items!$U$2:$U$211,"1, queued (slow)")</f>
        <v>3</v>
      </c>
    </row>
    <row r="13">
      <c r="A13" s="17" t="s">
        <v>332</v>
      </c>
      <c r="B13" s="17">
        <f>COUNTIF(Items!$U$2:$U$211,"1, queued (special design)")</f>
        <v>1</v>
      </c>
    </row>
    <row r="14">
      <c r="A14" s="17" t="s">
        <v>150</v>
      </c>
      <c r="B14" s="17">
        <f>COUNTIF(Items!$U$2:$U$211,"3, effect too small")</f>
        <v>61</v>
      </c>
    </row>
    <row r="15">
      <c r="A15" s="17" t="s">
        <v>173</v>
      </c>
      <c r="B15" s="17">
        <f>COUNTIF(Items!$U$2:$U$211,"2")</f>
        <v>47</v>
      </c>
    </row>
    <row r="16">
      <c r="A16" s="17" t="s">
        <v>474</v>
      </c>
      <c r="B16" s="17">
        <f>COUNTIF(Items!$U$2:$U$211,"3")</f>
        <v>73</v>
      </c>
    </row>
    <row r="17">
      <c r="A17" s="17" t="s">
        <v>586</v>
      </c>
      <c r="B17" s="17">
        <f>COUNTIF(Items!$U$2:$U$211,"P")</f>
        <v>9</v>
      </c>
    </row>
    <row r="19">
      <c r="A19" s="6" t="s">
        <v>1699</v>
      </c>
      <c r="B19" s="6" t="s">
        <v>1569</v>
      </c>
      <c r="C19" s="6" t="s">
        <v>1700</v>
      </c>
      <c r="D19" s="6" t="s">
        <v>1702</v>
      </c>
      <c r="E19" s="6" t="s">
        <v>1703</v>
      </c>
      <c r="F19" s="6" t="s">
        <v>1705</v>
      </c>
      <c r="G19" s="6" t="s">
        <v>39</v>
      </c>
    </row>
    <row r="20">
      <c r="A20" s="17" t="s">
        <v>138</v>
      </c>
      <c r="B20" s="17">
        <f>COUNTIF(Items!$E$2:$E$211,"supplement")</f>
        <v>76</v>
      </c>
      <c r="C20" s="17">
        <f>COUNTIFS(Items!$E$2:$E$211,"supplement",Items!$S$2:$S$211,"1")</f>
        <v>19</v>
      </c>
      <c r="D20" s="17">
        <f>COUNTIFS(Items!$E$2:$E$211,"supplement",Items!$U$2:$U$211,"1")</f>
        <v>2</v>
      </c>
      <c r="E20" s="17">
        <f>COUNTIFS(Items!$E$2:$E$211,"supplement",Items!$S$2:$S$211,"2")</f>
        <v>22</v>
      </c>
      <c r="F20" s="17">
        <f>COUNTIFS(Items!$E$2:$E$211,"supplement",Items!$S$2:$S$211,"3")</f>
        <v>32</v>
      </c>
      <c r="G20" s="17">
        <f>COUNTIFS(Items!$E$2:$E$211,"supplement",Items!$S$2:$S$211,"P")</f>
        <v>3</v>
      </c>
    </row>
    <row r="21" ht="15.75" customHeight="1">
      <c r="A21" s="17" t="s">
        <v>285</v>
      </c>
      <c r="B21" s="17">
        <f>COUNTIF(Items!$E$2:$E$211,"food/drink")</f>
        <v>10</v>
      </c>
      <c r="C21" s="17">
        <f>COUNTIFS(Items!$E$2:$E$211,"food/drink",Items!$S$2:$S$211,"1")</f>
        <v>5</v>
      </c>
      <c r="D21" s="17">
        <f>COUNTIFS(Items!$E$2:$E$211,"food/drink",Items!$U$2:$U$211,"1")</f>
        <v>2</v>
      </c>
      <c r="E21" s="17">
        <f>COUNTIFS(Items!$E$2:$E$211,"food/drink",Items!$S$2:$S$211,"2")</f>
        <v>2</v>
      </c>
      <c r="F21" s="17">
        <f>COUNTIFS(Items!$E$2:$E$211,"food/drink",Items!$S$2:$S$211,"3")</f>
        <v>3</v>
      </c>
      <c r="G21" s="17">
        <f>COUNTIFS(Items!$E$2:$E$211,"food/drink",Items!$S$2:$S$211,"P")</f>
        <v>0</v>
      </c>
    </row>
    <row r="22" ht="15.75" customHeight="1">
      <c r="A22" s="17" t="s">
        <v>1372</v>
      </c>
      <c r="B22" s="17">
        <f>COUNTIF(Items!$E$2:$E$211,"timing")</f>
        <v>12</v>
      </c>
      <c r="C22" s="17">
        <f>COUNTIFS(Items!$E$2:$E$211,"timing",Items!$S$2:$S$211,"1")</f>
        <v>12</v>
      </c>
      <c r="D22" s="17">
        <f>COUNTIFS(Items!$E$2:$E$211,"timing",Items!$U$2:$U$211,"1")</f>
        <v>4</v>
      </c>
      <c r="E22" s="17">
        <f>COUNTIFS(Items!$E$2:$E$211,"timing",Items!$S$2:$S$211,"2")</f>
        <v>0</v>
      </c>
      <c r="F22" s="17">
        <f>COUNTIFS(Items!$E$2:$E$211,"timing",Items!$S$2:$S$211,"3")</f>
        <v>0</v>
      </c>
      <c r="G22" s="17">
        <f>COUNTIFS(Items!$E$2:$E$211,"timing",Items!$S$2:$S$211,"P")</f>
        <v>0</v>
      </c>
    </row>
    <row r="23" ht="15.75" customHeight="1">
      <c r="A23" s="17" t="s">
        <v>1536</v>
      </c>
      <c r="B23" s="17">
        <f>COUNTIF(Items!$E$2:$E$211,"habit")</f>
        <v>21</v>
      </c>
      <c r="C23" s="17">
        <f>COUNTIFS(Items!$E$2:$E$211,"habit",Items!$S$2:$S$211,"1")</f>
        <v>18</v>
      </c>
      <c r="D23" s="17">
        <f>COUNTIFS(Items!$E$2:$E$211,"habit",Items!$U$2:$U$211,"1")</f>
        <v>6</v>
      </c>
      <c r="E23" s="17">
        <f>COUNTIFS(Items!$E$2:$E$211,"habit",Items!$S$2:$S$211,"2")</f>
        <v>0</v>
      </c>
      <c r="F23" s="17">
        <f>COUNTIFS(Items!$E$2:$E$211,"habit",Items!$S$2:$S$211,"3")</f>
        <v>3</v>
      </c>
      <c r="G23" s="17">
        <f>COUNTIFS(Items!$E$2:$E$211,"habit",Items!$S$2:$S$211,"P")</f>
        <v>0</v>
      </c>
    </row>
    <row r="24" ht="15.75" customHeight="1">
      <c r="A24" s="17" t="s">
        <v>1559</v>
      </c>
      <c r="B24" s="17">
        <f>COUNTIF(Items!$E$2:$E$211,"device")</f>
        <v>31</v>
      </c>
      <c r="C24" s="17">
        <f>COUNTIFS(Items!$E$2:$E$211,"device",Items!$S$2:$S$211,"1")</f>
        <v>14</v>
      </c>
      <c r="D24" s="17">
        <f>COUNTIFS(Items!$E$2:$E$211,"device",Items!$U$2:$U$211,"1")</f>
        <v>0</v>
      </c>
      <c r="E24" s="17">
        <f>COUNTIFS(Items!$E$2:$E$211,"device",Items!$S$2:$S$211,"2")</f>
        <v>6</v>
      </c>
      <c r="F24" s="17">
        <f>COUNTIFS(Items!$E$2:$E$211,"device",Items!$S$2:$S$211,"3")</f>
        <v>11</v>
      </c>
      <c r="G24" s="17">
        <f>COUNTIFS(Items!$E$2:$E$211,"device",Items!$S$2:$S$211,"P")</f>
        <v>0</v>
      </c>
    </row>
    <row r="25" ht="15.75" customHeight="1">
      <c r="A25" s="17" t="s">
        <v>1685</v>
      </c>
      <c r="B25" s="17">
        <f>COUNTIF(Items!$E$2:$E$211,"service")</f>
        <v>37</v>
      </c>
      <c r="C25" s="17">
        <f>COUNTIFS(Items!$E$2:$E$211,"service",Items!$S$2:$S$211,"1")</f>
        <v>4</v>
      </c>
      <c r="D25" s="17">
        <f>COUNTIFS(Items!$E$2:$E$211,"service",Items!$U$2:$U$211,"1")</f>
        <v>1</v>
      </c>
      <c r="E25" s="17">
        <f>COUNTIFS(Items!$E$2:$E$211,"service",Items!$S$2:$S$211,"2")</f>
        <v>10</v>
      </c>
      <c r="F25" s="17">
        <f>COUNTIFS(Items!$E$2:$E$211,"service",Items!$S$2:$S$211,"3")</f>
        <v>17</v>
      </c>
      <c r="G25" s="17">
        <f>COUNTIFS(Items!$E$2:$E$211,"service",Items!$S$2:$S$211,"P")</f>
        <v>6</v>
      </c>
    </row>
    <row r="26" ht="15.75" customHeight="1">
      <c r="A26" s="17" t="s">
        <v>1825</v>
      </c>
      <c r="B26" s="17">
        <f>COUNTIF(Items!$E$2:$E$211,"environment")</f>
        <v>14</v>
      </c>
      <c r="C26" s="17">
        <f>COUNTIFS(Items!$E$2:$E$211,"environment",Items!$S$2:$S$211,"1")</f>
        <v>9</v>
      </c>
      <c r="D26" s="17">
        <f>COUNTIFS(Items!$E$2:$E$211,"environment",Items!$U$2:$U$211,"1")</f>
        <v>1</v>
      </c>
      <c r="E26" s="17">
        <f>COUNTIFS(Items!$E$2:$E$211,"environment",Items!$S$2:$S$211,"2")</f>
        <v>1</v>
      </c>
      <c r="F26" s="17">
        <f>COUNTIFS(Items!$E$2:$E$211,"environment",Items!$S$2:$S$211,"3")</f>
        <v>4</v>
      </c>
      <c r="G26" s="17">
        <f>COUNTIFS(Items!$E$2:$E$211,"environment",Items!$S$2:$S$211,"P")</f>
        <v>0</v>
      </c>
    </row>
    <row r="27" ht="15.75" customHeight="1">
      <c r="A27" s="17" t="s">
        <v>1843</v>
      </c>
      <c r="B27" s="17">
        <f>COUNTIF(Items!$E$2:$E$211,"skincare")</f>
        <v>9</v>
      </c>
      <c r="C27" s="17">
        <f>COUNTIFS(Items!$E$2:$E$211,"skincare",Items!$S$2:$S$211,"1")</f>
        <v>0</v>
      </c>
      <c r="D27" s="17">
        <f>COUNTIFS(Items!$E$2:$E$211,"skincare",Items!$U$2:$U$211,"1")</f>
        <v>0</v>
      </c>
      <c r="E27" s="17">
        <f>COUNTIFS(Items!$E$2:$E$211,"skincare",Items!$S$2:$S$211,"2")</f>
        <v>6</v>
      </c>
      <c r="F27" s="17">
        <f>COUNTIFS(Items!$E$2:$E$211,"skincare",Items!$S$2:$S$211,"3")</f>
        <v>3</v>
      </c>
      <c r="G27" s="17">
        <f>COUNTIFS(Items!$E$2:$E$211,"skincare",Items!$S$2:$S$211,"P")</f>
        <v>0</v>
      </c>
    </row>
    <row r="28" ht="15.75" customHeight="1"/>
    <row r="29" ht="15.75" customHeight="1">
      <c r="A29" s="6" t="s">
        <v>1873</v>
      </c>
      <c r="B29" s="6" t="s">
        <v>1569</v>
      </c>
    </row>
    <row r="30" ht="15.75" customHeight="1">
      <c r="A30" s="17" t="s">
        <v>653</v>
      </c>
      <c r="B30" s="17">
        <f>COUNTIF(Items!$AB$2:$AB$211,"dose too low")</f>
        <v>2</v>
      </c>
    </row>
    <row r="31" ht="15.75" customHeight="1">
      <c r="A31" s="17" t="s">
        <v>673</v>
      </c>
      <c r="B31" s="17">
        <f>COUNTIF(Items!$AB$2:$AB$211,"form not absorbed")</f>
        <v>1</v>
      </c>
    </row>
    <row r="32" ht="15.75" customHeight="1">
      <c r="A32" s="17" t="s">
        <v>518</v>
      </c>
      <c r="B32" s="17">
        <f>COUNTIF(Items!$AB$2:$AB$211,"tested, found nothing")</f>
        <v>17</v>
      </c>
    </row>
    <row r="33" ht="15.75" customHeight="1">
      <c r="A33" s="17" t="s">
        <v>178</v>
      </c>
      <c r="B33" s="17">
        <f>COUNTIF(Items!$AB$2:$AB$211,"no way it could work")</f>
        <v>13</v>
      </c>
    </row>
    <row r="34" ht="15.75" customHeight="1">
      <c r="A34" s="17" t="s">
        <v>1884</v>
      </c>
      <c r="B34" s="17">
        <f>COUNTIF(Items!$AB$2:$AB$211,"overlaps with something else")</f>
        <v>11</v>
      </c>
    </row>
    <row r="35" ht="15.75" customHeight="1">
      <c r="A35" s="17" t="s">
        <v>1886</v>
      </c>
      <c r="B35" s="17">
        <f>COUNTIF(Items!$AB$2:$AB$211,"not being used")</f>
        <v>3</v>
      </c>
    </row>
    <row r="36" ht="15.75" customHeight="1"/>
    <row r="37" ht="15.75" customHeight="1"/>
    <row r="38" ht="15.75" customHeight="1">
      <c r="A38" s="6" t="s">
        <v>98</v>
      </c>
      <c r="B38" s="6" t="s">
        <v>1569</v>
      </c>
    </row>
    <row r="39" ht="15.75" customHeight="1">
      <c r="A39" s="17" t="s">
        <v>589</v>
      </c>
      <c r="B39" s="17">
        <f>COUNTIF(Items!$Y$2:$Y$211,"A")</f>
        <v>27</v>
      </c>
    </row>
    <row r="40" ht="15.75" customHeight="1">
      <c r="A40" s="17" t="s">
        <v>154</v>
      </c>
      <c r="B40" s="17">
        <f>COUNTIF(Items!$Y$2:$Y$211,"B")</f>
        <v>62</v>
      </c>
    </row>
    <row r="41" ht="15.75" customHeight="1">
      <c r="A41" s="17" t="s">
        <v>193</v>
      </c>
      <c r="B41" s="17">
        <f>COUNTIF(Items!$Y$2:$Y$211,"C")</f>
        <v>77</v>
      </c>
    </row>
    <row r="42" ht="15.75" customHeight="1">
      <c r="A42" s="17" t="s">
        <v>249</v>
      </c>
      <c r="B42" s="17">
        <f>COUNTIF(Items!$Y$2:$Y$211,"D")</f>
        <v>19</v>
      </c>
    </row>
    <row r="43" ht="15.75" customHeight="1">
      <c r="A43" s="17" t="s">
        <v>176</v>
      </c>
      <c r="B43" s="17">
        <f>COUNTIF(Items!$Y$2:$Y$211,"N")</f>
        <v>25</v>
      </c>
    </row>
    <row r="44" ht="15.75" customHeight="1"/>
    <row r="45" ht="15.75" customHeight="1">
      <c r="A45" s="15" t="s">
        <v>1910</v>
      </c>
      <c r="B45" s="15">
        <f>COUNTIF(Items!$AK$2:$AK$211,"yes")</f>
        <v>93</v>
      </c>
    </row>
    <row r="46" ht="15.75" customHeight="1">
      <c r="A46" s="15" t="s">
        <v>1913</v>
      </c>
      <c r="B46" s="15">
        <f>COUNTIFS(Items!$S$2:$S$211,"2",Items!$AK$2:$AK$211,"yes")</f>
        <v>47</v>
      </c>
    </row>
    <row r="47" ht="15.75" customHeight="1"/>
    <row r="48" ht="31.5" customHeight="1">
      <c r="A48" s="21" t="s">
        <v>1920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8:G4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2026-09-21T05:54:28Z</dcterms:created>
  <dc:creator>openpyxl</dc:creator>
</cp:coreProperties>
</file>